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Alicia\Desktop\Self_Development\Excel\JustIT\Assignment\"/>
    </mc:Choice>
  </mc:AlternateContent>
  <workbookProtection workbookAlgorithmName="SHA-512" workbookHashValue="F9X97EUvICTYavcaOQMPRzNloUgTug8/TKAYbhI+ot3Xb9Yfs6LdGY7zbLKoZGGuHF8XUbx2h1xEksdf+td2yw==" workbookSaltValue="4AZiqCpmPxyTmm5/6dGXvQ==" workbookSpinCount="100000" lockStructure="1"/>
  <bookViews>
    <workbookView xWindow="-105" yWindow="-105" windowWidth="23250" windowHeight="11790" tabRatio="446" firstSheet="3" activeTab="4"/>
  </bookViews>
  <sheets>
    <sheet name="GDP" sheetId="7" r:id="rId1"/>
    <sheet name="TOP 20 GDP" sheetId="20" r:id="rId2"/>
    <sheet name="Life Expectancy" sheetId="11" r:id="rId3"/>
    <sheet name="Smartphones" sheetId="19" r:id="rId4"/>
    <sheet name="Life Expentancy Vs GDP" sheetId="23" r:id="rId5"/>
  </sheets>
  <definedNames>
    <definedName name="_xlnm._FilterDatabase" localSheetId="0" hidden="1">GDP!$A$1:$D$1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" i="23" l="1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N48" i="23"/>
  <c r="N49" i="23"/>
  <c r="N50" i="23"/>
  <c r="N51" i="23"/>
  <c r="N52" i="23"/>
  <c r="N53" i="23"/>
  <c r="N54" i="23"/>
  <c r="N55" i="23"/>
  <c r="N56" i="23"/>
  <c r="N57" i="23"/>
  <c r="N58" i="23"/>
  <c r="N59" i="23"/>
  <c r="N60" i="23"/>
  <c r="N61" i="23"/>
  <c r="N62" i="23"/>
  <c r="N63" i="23"/>
  <c r="N64" i="23"/>
  <c r="N65" i="23"/>
  <c r="N66" i="23"/>
  <c r="N67" i="23"/>
  <c r="N68" i="23"/>
  <c r="N69" i="23"/>
  <c r="N70" i="23"/>
  <c r="N71" i="23"/>
  <c r="N72" i="23"/>
  <c r="N73" i="23"/>
  <c r="N74" i="23"/>
  <c r="N75" i="23"/>
  <c r="N76" i="23"/>
  <c r="N77" i="23"/>
  <c r="N78" i="23"/>
  <c r="N79" i="23"/>
  <c r="N80" i="23"/>
  <c r="N81" i="23"/>
  <c r="N82" i="23"/>
  <c r="N83" i="23"/>
  <c r="N84" i="23"/>
  <c r="N85" i="23"/>
  <c r="N86" i="23"/>
  <c r="N87" i="23"/>
  <c r="N88" i="23"/>
  <c r="N89" i="23"/>
  <c r="N90" i="23"/>
  <c r="N91" i="23"/>
  <c r="N92" i="23"/>
  <c r="N93" i="23"/>
  <c r="N94" i="23"/>
  <c r="N95" i="23"/>
  <c r="N96" i="23"/>
  <c r="N97" i="23"/>
  <c r="N98" i="23"/>
  <c r="N99" i="23"/>
  <c r="N100" i="23"/>
  <c r="N101" i="23"/>
  <c r="N102" i="23"/>
  <c r="N103" i="23"/>
  <c r="N104" i="23"/>
  <c r="N105" i="23"/>
  <c r="N106" i="23"/>
  <c r="N107" i="23"/>
  <c r="N108" i="23"/>
  <c r="N109" i="23"/>
  <c r="N110" i="23"/>
  <c r="N111" i="23"/>
  <c r="N112" i="23"/>
  <c r="N113" i="23"/>
  <c r="N114" i="23"/>
  <c r="N115" i="23"/>
  <c r="N116" i="23"/>
  <c r="N117" i="23"/>
  <c r="N118" i="23"/>
  <c r="N119" i="23"/>
  <c r="N120" i="23"/>
  <c r="N121" i="23"/>
  <c r="N122" i="23"/>
  <c r="N123" i="23"/>
  <c r="N124" i="23"/>
  <c r="N125" i="23"/>
  <c r="N126" i="23"/>
  <c r="N127" i="23"/>
  <c r="N128" i="23"/>
  <c r="N129" i="23"/>
  <c r="N130" i="23"/>
  <c r="N131" i="23"/>
  <c r="N132" i="23"/>
  <c r="N133" i="23"/>
  <c r="N134" i="23"/>
  <c r="N135" i="23"/>
  <c r="N136" i="23"/>
  <c r="N137" i="23"/>
  <c r="N138" i="23"/>
  <c r="N139" i="23"/>
  <c r="N140" i="23"/>
  <c r="N141" i="23"/>
  <c r="N142" i="23"/>
  <c r="N143" i="23"/>
  <c r="N144" i="23"/>
  <c r="N145" i="23"/>
  <c r="N146" i="23"/>
  <c r="N147" i="23"/>
  <c r="N148" i="23"/>
  <c r="N149" i="23"/>
  <c r="N150" i="23"/>
  <c r="N151" i="23"/>
  <c r="N152" i="23"/>
  <c r="N153" i="23"/>
  <c r="N154" i="23"/>
  <c r="N155" i="23"/>
  <c r="N156" i="23"/>
  <c r="N157" i="23"/>
  <c r="N158" i="23"/>
  <c r="N159" i="23"/>
  <c r="N160" i="23"/>
  <c r="N161" i="23"/>
  <c r="N162" i="23"/>
  <c r="N163" i="23"/>
  <c r="N164" i="23"/>
  <c r="N165" i="23"/>
  <c r="N166" i="23"/>
  <c r="N167" i="23"/>
  <c r="N168" i="23"/>
  <c r="N169" i="23"/>
  <c r="N170" i="23"/>
  <c r="N171" i="23"/>
  <c r="N172" i="23"/>
  <c r="N173" i="23"/>
  <c r="N174" i="23"/>
  <c r="N175" i="23"/>
  <c r="N176" i="23"/>
  <c r="N177" i="23"/>
  <c r="N178" i="23"/>
  <c r="N179" i="23"/>
  <c r="N180" i="23"/>
  <c r="N181" i="23"/>
  <c r="N182" i="23"/>
  <c r="N183" i="23"/>
  <c r="N184" i="23"/>
  <c r="N185" i="23"/>
  <c r="N186" i="23"/>
  <c r="N187" i="23"/>
  <c r="N188" i="23"/>
  <c r="N189" i="23"/>
  <c r="N190" i="23"/>
  <c r="N191" i="23"/>
  <c r="N192" i="23"/>
  <c r="N193" i="23"/>
  <c r="N194" i="23"/>
  <c r="N195" i="23"/>
  <c r="N196" i="23"/>
  <c r="N197" i="23"/>
  <c r="N3" i="23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2" i="23"/>
  <c r="M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2" i="23"/>
  <c r="I200" i="23"/>
  <c r="I199" i="23"/>
  <c r="K2" i="23"/>
  <c r="K200" i="23" s="1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F12" i="11"/>
  <c r="F9" i="11"/>
  <c r="F3" i="11"/>
  <c r="I201" i="23" l="1"/>
  <c r="K199" i="23"/>
  <c r="K201" i="23" s="1"/>
  <c r="L2" i="23"/>
  <c r="L148" i="23"/>
  <c r="L11" i="23"/>
  <c r="L197" i="23"/>
  <c r="L193" i="23"/>
  <c r="L189" i="23"/>
  <c r="L185" i="23"/>
  <c r="L181" i="23"/>
  <c r="L177" i="23"/>
  <c r="L173" i="23"/>
  <c r="L169" i="23"/>
  <c r="L165" i="23"/>
  <c r="L161" i="23"/>
  <c r="L157" i="23"/>
  <c r="L153" i="23"/>
  <c r="L149" i="23"/>
  <c r="L145" i="23"/>
  <c r="L141" i="23"/>
  <c r="L137" i="23"/>
  <c r="L133" i="23"/>
  <c r="L129" i="23"/>
  <c r="L125" i="23"/>
  <c r="L121" i="23"/>
  <c r="L117" i="23"/>
  <c r="L113" i="23"/>
  <c r="L109" i="23"/>
  <c r="L105" i="23"/>
  <c r="L101" i="23"/>
  <c r="L97" i="23"/>
  <c r="L93" i="23"/>
  <c r="L89" i="23"/>
  <c r="L85" i="23"/>
  <c r="L81" i="23"/>
  <c r="L77" i="23"/>
  <c r="L73" i="23"/>
  <c r="L69" i="23"/>
  <c r="L65" i="23"/>
  <c r="L61" i="23"/>
  <c r="L57" i="23"/>
  <c r="L53" i="23"/>
  <c r="L49" i="23"/>
  <c r="L45" i="23"/>
  <c r="L41" i="23"/>
  <c r="L37" i="23"/>
  <c r="L33" i="23"/>
  <c r="L29" i="23"/>
  <c r="L25" i="23"/>
  <c r="L21" i="23"/>
  <c r="L17" i="23"/>
  <c r="L13" i="23"/>
  <c r="L9" i="23"/>
  <c r="L5" i="23"/>
  <c r="L140" i="23"/>
  <c r="L136" i="23"/>
  <c r="L132" i="23"/>
  <c r="L128" i="23"/>
  <c r="L124" i="23"/>
  <c r="L120" i="23"/>
  <c r="L116" i="23"/>
  <c r="L112" i="23"/>
  <c r="L108" i="23"/>
  <c r="L104" i="23"/>
  <c r="L100" i="23"/>
  <c r="L96" i="23"/>
  <c r="L92" i="23"/>
  <c r="L88" i="23"/>
  <c r="L84" i="23"/>
  <c r="L80" i="23"/>
  <c r="L76" i="23"/>
  <c r="L72" i="23"/>
  <c r="L68" i="23"/>
  <c r="L64" i="23"/>
  <c r="L60" i="23"/>
  <c r="L56" i="23"/>
  <c r="L52" i="23"/>
  <c r="L48" i="23"/>
  <c r="L44" i="23"/>
  <c r="L40" i="23"/>
  <c r="L36" i="23"/>
  <c r="L32" i="23"/>
  <c r="L28" i="23"/>
  <c r="L24" i="23"/>
  <c r="L20" i="23"/>
  <c r="L16" i="23"/>
  <c r="L12" i="23"/>
  <c r="L8" i="23"/>
  <c r="L4" i="23"/>
  <c r="L192" i="23"/>
  <c r="L184" i="23"/>
  <c r="L176" i="23"/>
  <c r="L168" i="23"/>
  <c r="L160" i="23"/>
  <c r="L152" i="23"/>
  <c r="L144" i="23"/>
  <c r="L191" i="23"/>
  <c r="L183" i="23"/>
  <c r="L175" i="23"/>
  <c r="L171" i="23"/>
  <c r="L163" i="23"/>
  <c r="L155" i="23"/>
  <c r="L147" i="23"/>
  <c r="L115" i="23"/>
  <c r="L103" i="23"/>
  <c r="L95" i="23"/>
  <c r="L87" i="23"/>
  <c r="L79" i="23"/>
  <c r="L71" i="23"/>
  <c r="L59" i="23"/>
  <c r="L51" i="23"/>
  <c r="L43" i="23"/>
  <c r="L35" i="23"/>
  <c r="L27" i="23"/>
  <c r="L19" i="23"/>
  <c r="L7" i="23"/>
  <c r="L3" i="23"/>
  <c r="L196" i="23"/>
  <c r="L188" i="23"/>
  <c r="L180" i="23"/>
  <c r="L172" i="23"/>
  <c r="L164" i="23"/>
  <c r="L156" i="23"/>
  <c r="L195" i="23"/>
  <c r="L187" i="23"/>
  <c r="L179" i="23"/>
  <c r="L167" i="23"/>
  <c r="L159" i="23"/>
  <c r="L151" i="23"/>
  <c r="L143" i="23"/>
  <c r="L139" i="23"/>
  <c r="L135" i="23"/>
  <c r="L131" i="23"/>
  <c r="L127" i="23"/>
  <c r="L123" i="23"/>
  <c r="L119" i="23"/>
  <c r="L111" i="23"/>
  <c r="L107" i="23"/>
  <c r="L99" i="23"/>
  <c r="L91" i="23"/>
  <c r="L83" i="23"/>
  <c r="L75" i="23"/>
  <c r="L67" i="23"/>
  <c r="L63" i="23"/>
  <c r="L55" i="23"/>
  <c r="L47" i="23"/>
  <c r="L39" i="23"/>
  <c r="L31" i="23"/>
  <c r="L23" i="23"/>
  <c r="L15" i="23"/>
  <c r="L194" i="23"/>
  <c r="L190" i="23"/>
  <c r="L186" i="23"/>
  <c r="L182" i="23"/>
  <c r="L178" i="23"/>
  <c r="L174" i="23"/>
  <c r="L170" i="23"/>
  <c r="L166" i="23"/>
  <c r="L162" i="23"/>
  <c r="L158" i="23"/>
  <c r="L154" i="23"/>
  <c r="L150" i="23"/>
  <c r="L146" i="23"/>
  <c r="L142" i="23"/>
  <c r="L138" i="23"/>
  <c r="L134" i="23"/>
  <c r="L130" i="23"/>
  <c r="L126" i="23"/>
  <c r="L122" i="23"/>
  <c r="L118" i="23"/>
  <c r="L114" i="23"/>
  <c r="L110" i="23"/>
  <c r="L106" i="23"/>
  <c r="L102" i="23"/>
  <c r="L98" i="23"/>
  <c r="L94" i="23"/>
  <c r="L90" i="23"/>
  <c r="L86" i="23"/>
  <c r="L82" i="23"/>
  <c r="L78" i="23"/>
  <c r="L74" i="23"/>
  <c r="L70" i="23"/>
  <c r="L66" i="23"/>
  <c r="L62" i="23"/>
  <c r="L58" i="23"/>
  <c r="L54" i="23"/>
  <c r="L50" i="23"/>
  <c r="L46" i="23"/>
  <c r="L42" i="23"/>
  <c r="L38" i="23"/>
  <c r="L34" i="23"/>
  <c r="L30" i="23"/>
  <c r="L26" i="23"/>
  <c r="L22" i="23"/>
  <c r="L18" i="23"/>
  <c r="L14" i="23"/>
  <c r="L10" i="23"/>
  <c r="L6" i="23"/>
  <c r="F6" i="11" l="1"/>
  <c r="G1" i="7" l="1"/>
</calcChain>
</file>

<file path=xl/sharedStrings.xml><?xml version="1.0" encoding="utf-8"?>
<sst xmlns="http://schemas.openxmlformats.org/spreadsheetml/2006/main" count="1131" uniqueCount="459">
  <si>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</si>
  <si>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</si>
  <si>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</si>
  <si>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</si>
  <si>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</si>
  <si>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</si>
  <si>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</si>
  <si>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</si>
  <si>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</si>
  <si>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</si>
  <si>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</si>
  <si>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</si>
  <si>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</si>
  <si>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</si>
  <si>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</si>
  <si>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</si>
  <si>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</si>
  <si>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</si>
  <si>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</si>
  <si>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</si>
  <si>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</si>
  <si>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</si>
  <si>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</si>
  <si>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</si>
  <si>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</si>
  <si>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</si>
  <si>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</si>
  <si>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</si>
  <si>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</si>
  <si>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</si>
  <si>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</si>
  <si>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</si>
  <si>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</si>
  <si>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</si>
  <si>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</si>
  <si>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</si>
  <si>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</si>
  <si>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</si>
  <si>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</si>
  <si>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</si>
  <si>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</si>
  <si>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</si>
  <si>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</si>
  <si>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</si>
  <si>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</si>
  <si>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</si>
  <si>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</si>
  <si>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</si>
  <si>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</si>
  <si>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</si>
  <si>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</si>
  <si>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</si>
  <si>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</si>
  <si>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</si>
  <si>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</si>
  <si>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</si>
  <si>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</si>
  <si>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</si>
  <si>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</si>
  <si>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</si>
  <si>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</si>
  <si>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</si>
  <si>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</si>
  <si>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</si>
  <si>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</si>
  <si>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</si>
  <si>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</si>
  <si>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</si>
  <si>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</si>
  <si>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</si>
  <si>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</si>
  <si>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</si>
  <si>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</si>
  <si>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</si>
  <si>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</si>
  <si>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</si>
  <si>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</si>
  <si>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</si>
  <si>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</si>
  <si>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</si>
  <si>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</si>
  <si>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</si>
  <si>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</si>
  <si>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</si>
  <si>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</si>
  <si>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</si>
  <si>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</si>
  <si>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</si>
  <si>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</si>
  <si>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</si>
  <si>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</si>
  <si>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</si>
  <si>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</si>
  <si>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</si>
  <si>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</si>
  <si>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</si>
  <si>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</si>
  <si>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</si>
  <si>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</si>
  <si>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</si>
  <si>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</si>
  <si>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</si>
  <si>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</si>
  <si>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</si>
  <si>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</si>
  <si>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</si>
  <si>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</si>
  <si>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</si>
  <si>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</si>
  <si>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</si>
  <si>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</si>
  <si>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</si>
  <si>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</si>
  <si>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</si>
  <si>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</si>
  <si>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</si>
  <si>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</si>
  <si>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</si>
  <si>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</si>
  <si>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</si>
  <si>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</si>
  <si>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</si>
  <si>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</si>
  <si>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</si>
  <si>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</si>
  <si>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</si>
  <si>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</si>
  <si>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</si>
  <si>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</si>
  <si>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</si>
  <si>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</si>
  <si>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</si>
  <si>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</si>
  <si>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</si>
  <si>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</si>
  <si>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</si>
  <si>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</si>
  <si>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</si>
  <si>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</si>
  <si>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</si>
  <si>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</si>
  <si>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</si>
  <si>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</si>
  <si>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</si>
  <si>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</si>
  <si>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</si>
  <si>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</si>
  <si>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</si>
  <si>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</si>
  <si>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</si>
  <si>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</si>
  <si>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</si>
  <si>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</si>
  <si>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</si>
  <si>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</si>
  <si>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</si>
  <si>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</si>
  <si>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</si>
  <si>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</si>
  <si>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</si>
  <si>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</si>
  <si>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</si>
  <si>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</si>
  <si>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</si>
  <si>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</si>
  <si>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</si>
  <si>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</si>
  <si>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</si>
  <si>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</si>
  <si>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</si>
  <si>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</si>
  <si>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</si>
  <si>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</si>
  <si>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</si>
  <si>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</si>
  <si>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</si>
  <si>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</si>
  <si>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</si>
  <si>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</si>
  <si>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</si>
  <si>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</si>
  <si>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</si>
  <si>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</si>
  <si>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</si>
  <si>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</si>
  <si>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</si>
  <si>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</si>
  <si>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</si>
  <si>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</si>
  <si>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</si>
  <si>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</si>
  <si>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</si>
  <si>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</si>
  <si>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</si>
  <si>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</si>
  <si>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</si>
  <si>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</si>
  <si>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</si>
  <si>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</si>
  <si>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</si>
  <si>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</si>
  <si>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</si>
  <si>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</si>
  <si>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</si>
  <si>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</si>
  <si>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</si>
  <si>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</si>
  <si>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</si>
  <si>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</si>
  <si>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</si>
  <si>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</si>
  <si>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</si>
  <si>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</si>
  <si>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</si>
  <si>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</si>
  <si>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</si>
  <si>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</si>
  <si>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</si>
  <si>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</si>
  <si>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</si>
  <si>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</si>
  <si>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</si>
  <si>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</si>
  <si>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</si>
  <si>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</si>
  <si>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</si>
  <si>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</si>
  <si>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</si>
  <si>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</si>
  <si>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</si>
  <si>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</si>
  <si>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</si>
  <si>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</si>
  <si>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</si>
  <si>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</si>
  <si>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</si>
  <si>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</si>
  <si>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</si>
  <si>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</si>
  <si>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</si>
  <si>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</si>
  <si>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</si>
  <si>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</si>
  <si>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</si>
  <si>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</si>
  <si>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</si>
  <si>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</si>
  <si>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</si>
  <si>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</si>
  <si>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</si>
  <si>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</si>
  <si>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</si>
  <si>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</si>
  <si>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</si>
  <si>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</si>
  <si>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</si>
  <si>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</si>
  <si>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</si>
  <si>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</si>
  <si>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</si>
  <si>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</si>
  <si>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</si>
  <si>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</si>
  <si>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</si>
  <si>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</si>
  <si>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</si>
  <si>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</si>
  <si>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</si>
  <si>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</si>
  <si>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</si>
  <si>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</si>
  <si>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</si>
  <si>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</si>
  <si>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</si>
  <si>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</si>
  <si>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</si>
  <si>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</si>
  <si>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</si>
  <si>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</si>
  <si>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</si>
  <si>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</si>
  <si>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</si>
  <si>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</si>
  <si>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</si>
  <si>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</si>
  <si>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</si>
  <si>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</si>
  <si>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</si>
  <si>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</si>
  <si>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</si>
  <si>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</si>
  <si>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</si>
  <si>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</si>
  <si>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</si>
  <si>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</si>
  <si>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</si>
  <si>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</si>
  <si>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</si>
  <si>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</si>
  <si>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</si>
  <si>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</si>
  <si>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</si>
  <si>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</si>
  <si>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</si>
  <si>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</si>
  <si>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</si>
  <si>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</si>
  <si>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</si>
  <si>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</si>
  <si>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</si>
  <si>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</si>
  <si>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</si>
  <si>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</si>
  <si>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</si>
  <si>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</si>
  <si>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</si>
  <si>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</si>
  <si>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</si>
  <si>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</si>
  <si>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</si>
  <si>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</si>
  <si>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</si>
  <si>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</si>
  <si>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</si>
  <si>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</si>
  <si>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</si>
  <si>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</si>
  <si>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</si>
  <si>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</si>
  <si>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</si>
  <si>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</si>
  <si>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</si>
  <si>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</si>
  <si>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</si>
  <si>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</si>
  <si>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</si>
  <si>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</si>
  <si>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</si>
  <si>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</si>
  <si>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</si>
  <si>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</si>
  <si>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</si>
  <si>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</si>
  <si>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</si>
  <si>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</si>
  <si>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</si>
  <si>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</si>
  <si>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</si>
  <si>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</si>
  <si>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</si>
  <si>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</si>
  <si>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</si>
  <si>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</si>
  <si>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</si>
  <si>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</si>
  <si>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</si>
  <si>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</si>
  <si>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</si>
  <si>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</si>
  <si>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</si>
  <si>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</si>
  <si>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</si>
  <si>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</si>
  <si>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</si>
  <si>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</si>
  <si>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</si>
  <si>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</si>
  <si>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</si>
  <si>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</si>
  <si>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</si>
  <si>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</si>
  <si>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</si>
  <si>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</si>
  <si>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</si>
  <si>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</si>
  <si>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</si>
  <si>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</si>
  <si>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</si>
  <si>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</si>
  <si>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</si>
  <si>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</si>
  <si>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</si>
  <si>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</si>
  <si>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</si>
  <si>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</si>
  <si>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</si>
  <si>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</si>
  <si>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</si>
  <si>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</si>
  <si>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</si>
  <si>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</si>
  <si>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</si>
  <si>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</si>
  <si>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</si>
  <si>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</si>
  <si>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</si>
  <si>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</si>
  <si>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</si>
  <si>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</si>
  <si>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</si>
  <si>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</si>
  <si>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</si>
  <si>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</si>
  <si>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</si>
  <si>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</si>
  <si>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</si>
  <si>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</si>
  <si>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</si>
  <si>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</si>
  <si>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</si>
  <si>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</si>
  <si>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</si>
  <si>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</si>
  <si>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</si>
  <si>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</si>
  <si>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</si>
  <si>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</si>
  <si>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</si>
  <si>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</si>
  <si>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</si>
  <si>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</si>
  <si>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</si>
  <si>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</si>
  <si>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</si>
  <si>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</si>
  <si>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</si>
  <si>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</si>
  <si>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</si>
  <si>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</si>
  <si>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</si>
  <si>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</si>
  <si>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</si>
  <si>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</si>
  <si>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Average Life Expectancy</t>
  </si>
  <si>
    <t>Median Life Expectancy</t>
  </si>
  <si>
    <t>Range</t>
  </si>
  <si>
    <t>80.0-80.5</t>
  </si>
  <si>
    <t>80.6-81.0</t>
  </si>
  <si>
    <t>81.1-81.5</t>
  </si>
  <si>
    <t>81.6-82.0</t>
  </si>
  <si>
    <t>82.1-82.5</t>
  </si>
  <si>
    <t>82.6-83.0</t>
  </si>
  <si>
    <t>83.1-83.5</t>
  </si>
  <si>
    <t>83.5-84.0</t>
  </si>
  <si>
    <t>84.1-84.5</t>
  </si>
  <si>
    <t>84.6-85.0</t>
  </si>
  <si>
    <t>Class Limit</t>
  </si>
  <si>
    <t>Bin</t>
  </si>
  <si>
    <t>More</t>
  </si>
  <si>
    <t>Frequency</t>
  </si>
  <si>
    <t>Standard Deviation</t>
  </si>
  <si>
    <t>Column1</t>
  </si>
  <si>
    <t>Monaco </t>
  </si>
  <si>
    <t>Correlation_Value</t>
  </si>
  <si>
    <t>Min</t>
  </si>
  <si>
    <t>Max</t>
  </si>
  <si>
    <t>Difference</t>
  </si>
  <si>
    <t>Scaled_Life</t>
  </si>
  <si>
    <t>Scaled_GDP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</si>
</sst>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[$£-809]#,##0.00"/>
    <numFmt numFmtId="169" formatCode="0.0"/>
    <numFmt numFmtId="170" formatCode="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3" fillId="3" borderId="1" xfId="0" applyFont="1" applyFill="1" applyBorder="1"/>
    <xf numFmtId="167" fontId="0" fillId="3" borderId="1" xfId="3" applyNumberFormat="1" applyFont="1" applyFill="1" applyBorder="1" applyAlignment="1">
      <alignment horizontal="left"/>
    </xf>
    <xf numFmtId="0" fontId="0" fillId="0" borderId="1" xfId="0" applyFont="1" applyBorder="1"/>
    <xf numFmtId="167" fontId="0" fillId="0" borderId="1" xfId="3" applyNumberFormat="1" applyFont="1" applyBorder="1" applyAlignment="1">
      <alignment horizontal="left"/>
    </xf>
    <xf numFmtId="0" fontId="0" fillId="3" borderId="1" xfId="0" applyFont="1" applyFill="1" applyBorder="1"/>
    <xf numFmtId="0" fontId="0" fillId="3" borderId="1" xfId="0" applyFont="1" applyFill="1" applyBorder="1" applyAlignment="1">
      <alignment horizontal="right"/>
    </xf>
    <xf numFmtId="0" fontId="4" fillId="2" borderId="2" xfId="0" applyFont="1" applyFill="1" applyBorder="1"/>
    <xf numFmtId="167" fontId="4" fillId="2" borderId="2" xfId="3" applyNumberFormat="1" applyFont="1" applyFill="1" applyBorder="1" applyAlignment="1">
      <alignment horizontal="left"/>
    </xf>
    <xf numFmtId="0" fontId="0" fillId="0" borderId="3" xfId="0" applyFont="1" applyBorder="1"/>
    <xf numFmtId="167" fontId="0" fillId="0" borderId="3" xfId="3" applyNumberFormat="1" applyFont="1" applyBorder="1" applyAlignment="1">
      <alignment horizontal="left"/>
    </xf>
    <xf numFmtId="0" fontId="0" fillId="4" borderId="0" xfId="0" applyFill="1"/>
    <xf numFmtId="0" fontId="0" fillId="0" borderId="0" xfId="0" applyFill="1"/>
    <xf numFmtId="0" fontId="0" fillId="0" borderId="2" xfId="0" applyBorder="1"/>
    <xf numFmtId="166" fontId="0" fillId="0" borderId="0" xfId="0" applyNumberFormat="1"/>
    <xf numFmtId="43" fontId="0" fillId="0" borderId="0" xfId="0" applyNumberFormat="1"/>
    <xf numFmtId="166" fontId="2" fillId="0" borderId="0" xfId="0" applyNumberFormat="1" applyFont="1"/>
    <xf numFmtId="169" fontId="0" fillId="0" borderId="0" xfId="0" applyNumberFormat="1"/>
    <xf numFmtId="0" fontId="0" fillId="0" borderId="5" xfId="0" applyFont="1" applyBorder="1"/>
    <xf numFmtId="0" fontId="0" fillId="3" borderId="5" xfId="0" applyFont="1" applyFill="1" applyBorder="1"/>
    <xf numFmtId="0" fontId="0" fillId="0" borderId="0" xfId="0" applyNumberFormat="1"/>
    <xf numFmtId="0" fontId="0" fillId="0" borderId="0" xfId="0" applyFill="1" applyBorder="1" applyAlignment="1"/>
    <xf numFmtId="0" fontId="0" fillId="0" borderId="6" xfId="0" applyFill="1" applyBorder="1" applyAlignment="1"/>
    <xf numFmtId="0" fontId="6" fillId="0" borderId="7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left"/>
    </xf>
    <xf numFmtId="0" fontId="4" fillId="2" borderId="4" xfId="0" applyFont="1" applyFill="1" applyBorder="1"/>
    <xf numFmtId="0" fontId="0" fillId="3" borderId="3" xfId="0" applyFont="1" applyFill="1" applyBorder="1"/>
    <xf numFmtId="0" fontId="0" fillId="3" borderId="8" xfId="0" applyFont="1" applyFill="1" applyBorder="1"/>
    <xf numFmtId="167" fontId="0" fillId="3" borderId="3" xfId="3" applyNumberFormat="1" applyFont="1" applyFill="1" applyBorder="1" applyAlignment="1">
      <alignment horizontal="left"/>
    </xf>
    <xf numFmtId="167" fontId="2" fillId="2" borderId="2" xfId="3" applyNumberFormat="1" applyFont="1" applyFill="1" applyBorder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2" applyNumberFormat="1" applyFont="1" applyAlignment="1">
      <alignment horizontal="left"/>
    </xf>
    <xf numFmtId="170" fontId="0" fillId="0" borderId="0" xfId="0" applyNumberFormat="1"/>
  </cellXfs>
  <cellStyles count="4">
    <cellStyle name="Comma" xfId="2" builtinId="3"/>
    <cellStyle name="Comma 2" xfId="1"/>
    <cellStyle name="Currency" xfId="3" builtinId="4"/>
    <cellStyle name="Normal" xfId="0" builtinId="0"/>
  </cellStyles>
  <dxfs count="30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_-;\-* #,##0.0_-;_-* &quot;-&quot;??_-;_-@_-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£-809]#,##0.00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.0_-;\-* #,##0.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£-809]#,##0.00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£-809]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Relationship between Rank Vs GDP -</a:t>
            </a:r>
            <a:r>
              <a:rPr lang="en-US" b="1" baseline="0"/>
              <a:t> p</a:t>
            </a:r>
            <a:r>
              <a:rPr lang="en-US" b="1"/>
              <a:t>er capita (PPP)</a:t>
            </a:r>
          </a:p>
        </c:rich>
      </c:tx>
      <c:layout/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cap="rnd">
          <a:solidFill>
            <a:schemeClr val="accent1"/>
          </a:solidFill>
          <a:beve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GDP!$A$2:$A$229</c:f>
              <c:numCache>
                <c:formatCode>General</c:formatCode>
                <c:ptCount val="2"/>
                <c:pt idx="0">
                  <c:v>4</c:v>
                </c:pt>
                <c:pt idx="1">
                  <c:v>227</c:v>
                </c:pt>
              </c:numCache>
            </c:numRef>
          </c:xVal>
          <c:yVal>
            <c:numRef>
              <c:f>GDP!$C$2:$C$229</c:f>
              <c:numCache>
                <c:formatCode>[$£-809]#,##0.00</c:formatCode>
                <c:ptCount val="2"/>
                <c:pt idx="0">
                  <c:v>115874</c:v>
                </c:pt>
                <c:pt idx="1">
                  <c:v>875.2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574976"/>
        <c:axId val="694577696"/>
      </c:scatterChart>
      <c:valAx>
        <c:axId val="694574976"/>
        <c:scaling>
          <c:orientation val="minMax"/>
          <c:max val="23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Rank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77696"/>
        <c:crosses val="autoZero"/>
        <c:crossBetween val="midCat"/>
        <c:majorUnit val="20"/>
      </c:valAx>
      <c:valAx>
        <c:axId val="694577696"/>
        <c:scaling>
          <c:orientation val="minMax"/>
          <c:max val="201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3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GDP - per capita (PPP)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£-809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74976"/>
        <c:crosses val="autoZero"/>
        <c:crossBetween val="midCat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Top 20 highest</a:t>
            </a:r>
            <a:r>
              <a:rPr lang="en-US" b="1" baseline="0"/>
              <a:t> ranked countries by GDP - per capita (PPP)</a:t>
            </a:r>
            <a:endParaRPr lang="en-US" b="1"/>
          </a:p>
        </c:rich>
      </c:tx>
      <c:layout/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20 GDP'!$D$1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'TOP 20 GDP'!$C$2:$C$189</c:f>
              <c:strCache>
                <c:ptCount val="21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Australia </c:v>
                </c:pt>
                <c:pt idx="20">
                  <c:v>Kuwait </c:v>
                </c:pt>
              </c:strCache>
            </c:strRef>
          </c:cat>
          <c:val>
            <c:numRef>
              <c:f>'TOP 20 GDP'!$D$2:$D$189</c:f>
              <c:numCache>
                <c:formatCode>[$£-809]#,##0.00</c:formatCode>
                <c:ptCount val="21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26364672"/>
        <c:axId val="1126361408"/>
      </c:barChart>
      <c:catAx>
        <c:axId val="1126364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361408"/>
        <c:crosses val="autoZero"/>
        <c:auto val="1"/>
        <c:lblAlgn val="ctr"/>
        <c:lblOffset val="100"/>
        <c:noMultiLvlLbl val="0"/>
      </c:catAx>
      <c:valAx>
        <c:axId val="1126361408"/>
        <c:scaling>
          <c:orientation val="minMax"/>
        </c:scaling>
        <c:delete val="0"/>
        <c:axPos val="b"/>
        <c:majorGridlines>
          <c:spPr>
            <a:ln w="0" cap="flat" cmpd="sng" algn="ctr">
              <a:solidFill>
                <a:schemeClr val="accent1">
                  <a:alpha val="18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GDP - per capita (PPP)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£-8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364672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solidFill>
          <a:schemeClr val="bg1"/>
        </a:solidFill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Distribution</a:t>
            </a:r>
            <a:r>
              <a:rPr lang="en-US" baseline="0"/>
              <a:t> of Life Expectance of Top 15</a:t>
            </a:r>
            <a:endParaRPr lang="en-US"/>
          </a:p>
        </c:rich>
      </c:tx>
      <c:layout/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tx2">
              <a:lumMod val="40000"/>
              <a:lumOff val="60000"/>
              <a:alpha val="96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ln w="19050"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cat>
            <c:strRef>
              <c:f>'Life Expectancy'!$C$201:$C$211</c:f>
              <c:strCache>
                <c:ptCount val="11"/>
                <c:pt idx="0">
                  <c:v>80.0-80.5</c:v>
                </c:pt>
                <c:pt idx="1">
                  <c:v>80.6-81.0</c:v>
                </c:pt>
                <c:pt idx="2">
                  <c:v>81.1-81.5</c:v>
                </c:pt>
                <c:pt idx="3">
                  <c:v>81.6-82.0</c:v>
                </c:pt>
                <c:pt idx="4">
                  <c:v>82.1-82.5</c:v>
                </c:pt>
                <c:pt idx="5">
                  <c:v>82.6-83.0</c:v>
                </c:pt>
                <c:pt idx="6">
                  <c:v>83.1-83.5</c:v>
                </c:pt>
                <c:pt idx="7">
                  <c:v>83.5-84.0</c:v>
                </c:pt>
                <c:pt idx="8">
                  <c:v>84.1-84.5</c:v>
                </c:pt>
                <c:pt idx="9">
                  <c:v>84.6-85.0</c:v>
                </c:pt>
                <c:pt idx="10">
                  <c:v>More</c:v>
                </c:pt>
              </c:strCache>
            </c:strRef>
          </c:cat>
          <c:val>
            <c:numRef>
              <c:f>'Life Expectancy'!$D$201:$D$211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94575520"/>
        <c:axId val="225888368"/>
      </c:barChart>
      <c:catAx>
        <c:axId val="69457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25888368"/>
        <c:crosses val="autoZero"/>
        <c:auto val="1"/>
        <c:lblAlgn val="ctr"/>
        <c:lblOffset val="100"/>
        <c:noMultiLvlLbl val="0"/>
      </c:catAx>
      <c:valAx>
        <c:axId val="2258883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94575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Life expectancy Vs GDP - per capita (PPP)</a:t>
            </a:r>
          </a:p>
        </c:rich>
      </c:tx>
      <c:layout/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tx2">
              <a:lumMod val="40000"/>
              <a:lumOff val="6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'Life Expentancy Vs GDP'!$K$1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'Life Expentancy Vs GDP'!$I$2:$I$197</c:f>
              <c:numCache>
                <c:formatCode>_-* #,##0.0_-;\-* #,##0.0_-;_-* "-"??_-;_-@_-</c:formatCode>
                <c:ptCount val="196"/>
                <c:pt idx="0">
                  <c:v>84.9</c:v>
                </c:pt>
                <c:pt idx="1">
                  <c:v>84.6</c:v>
                </c:pt>
                <c:pt idx="2">
                  <c:v>83.8</c:v>
                </c:pt>
                <c:pt idx="3">
                  <c:v>83.6</c:v>
                </c:pt>
                <c:pt idx="4">
                  <c:v>83.5</c:v>
                </c:pt>
                <c:pt idx="5">
                  <c:v>83.4</c:v>
                </c:pt>
                <c:pt idx="6">
                  <c:v>83.4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82.8</c:v>
                </c:pt>
                <c:pt idx="11">
                  <c:v>82.7</c:v>
                </c:pt>
                <c:pt idx="12">
                  <c:v>82.5</c:v>
                </c:pt>
                <c:pt idx="13">
                  <c:v>82.4</c:v>
                </c:pt>
                <c:pt idx="14">
                  <c:v>82.4</c:v>
                </c:pt>
                <c:pt idx="15">
                  <c:v>82.3</c:v>
                </c:pt>
                <c:pt idx="16">
                  <c:v>82.3</c:v>
                </c:pt>
                <c:pt idx="17">
                  <c:v>82.3</c:v>
                </c:pt>
                <c:pt idx="18">
                  <c:v>82.3</c:v>
                </c:pt>
                <c:pt idx="19">
                  <c:v>82.2</c:v>
                </c:pt>
                <c:pt idx="20">
                  <c:v>82.1</c:v>
                </c:pt>
                <c:pt idx="21">
                  <c:v>81.900000000000006</c:v>
                </c:pt>
                <c:pt idx="22">
                  <c:v>81.900000000000006</c:v>
                </c:pt>
                <c:pt idx="23">
                  <c:v>81.599999999999994</c:v>
                </c:pt>
                <c:pt idx="24">
                  <c:v>81.5</c:v>
                </c:pt>
                <c:pt idx="25">
                  <c:v>81.3</c:v>
                </c:pt>
                <c:pt idx="26">
                  <c:v>81.3</c:v>
                </c:pt>
                <c:pt idx="27">
                  <c:v>81.3</c:v>
                </c:pt>
                <c:pt idx="28">
                  <c:v>81</c:v>
                </c:pt>
                <c:pt idx="29">
                  <c:v>80.900000000000006</c:v>
                </c:pt>
                <c:pt idx="30">
                  <c:v>80.7</c:v>
                </c:pt>
                <c:pt idx="31">
                  <c:v>80.3</c:v>
                </c:pt>
                <c:pt idx="32">
                  <c:v>80.2</c:v>
                </c:pt>
                <c:pt idx="33">
                  <c:v>80.2</c:v>
                </c:pt>
                <c:pt idx="34">
                  <c:v>79.400000000000006</c:v>
                </c:pt>
                <c:pt idx="35">
                  <c:v>79.2</c:v>
                </c:pt>
                <c:pt idx="36">
                  <c:v>79.099999999999994</c:v>
                </c:pt>
                <c:pt idx="37">
                  <c:v>78.900000000000006</c:v>
                </c:pt>
                <c:pt idx="38">
                  <c:v>78.900000000000006</c:v>
                </c:pt>
                <c:pt idx="39">
                  <c:v>78.8</c:v>
                </c:pt>
                <c:pt idx="40">
                  <c:v>78.8</c:v>
                </c:pt>
                <c:pt idx="41">
                  <c:v>78.7</c:v>
                </c:pt>
                <c:pt idx="42">
                  <c:v>78.599999999999994</c:v>
                </c:pt>
                <c:pt idx="43">
                  <c:v>78.5</c:v>
                </c:pt>
                <c:pt idx="44">
                  <c:v>78.5</c:v>
                </c:pt>
                <c:pt idx="45">
                  <c:v>78.2</c:v>
                </c:pt>
                <c:pt idx="46">
                  <c:v>78</c:v>
                </c:pt>
                <c:pt idx="47">
                  <c:v>77.900000000000006</c:v>
                </c:pt>
                <c:pt idx="48">
                  <c:v>77.900000000000006</c:v>
                </c:pt>
                <c:pt idx="49">
                  <c:v>77.7</c:v>
                </c:pt>
                <c:pt idx="50">
                  <c:v>77.5</c:v>
                </c:pt>
                <c:pt idx="51">
                  <c:v>77.400000000000006</c:v>
                </c:pt>
                <c:pt idx="52">
                  <c:v>77.3</c:v>
                </c:pt>
                <c:pt idx="53">
                  <c:v>77.3</c:v>
                </c:pt>
                <c:pt idx="54">
                  <c:v>77.2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76.900000000000006</c:v>
                </c:pt>
                <c:pt idx="59">
                  <c:v>76.900000000000006</c:v>
                </c:pt>
                <c:pt idx="60">
                  <c:v>76.900000000000006</c:v>
                </c:pt>
                <c:pt idx="61">
                  <c:v>76.900000000000006</c:v>
                </c:pt>
                <c:pt idx="62">
                  <c:v>76.7</c:v>
                </c:pt>
                <c:pt idx="63">
                  <c:v>76.7</c:v>
                </c:pt>
                <c:pt idx="64">
                  <c:v>76.7</c:v>
                </c:pt>
                <c:pt idx="65">
                  <c:v>76.7</c:v>
                </c:pt>
                <c:pt idx="66">
                  <c:v>76.7</c:v>
                </c:pt>
                <c:pt idx="67">
                  <c:v>76.2</c:v>
                </c:pt>
                <c:pt idx="68">
                  <c:v>76.2</c:v>
                </c:pt>
                <c:pt idx="69">
                  <c:v>76.099999999999994</c:v>
                </c:pt>
                <c:pt idx="70">
                  <c:v>76</c:v>
                </c:pt>
                <c:pt idx="71">
                  <c:v>75.900000000000006</c:v>
                </c:pt>
                <c:pt idx="72">
                  <c:v>75.900000000000006</c:v>
                </c:pt>
                <c:pt idx="73">
                  <c:v>75.900000000000006</c:v>
                </c:pt>
                <c:pt idx="74">
                  <c:v>75.8</c:v>
                </c:pt>
                <c:pt idx="75">
                  <c:v>75.599999999999994</c:v>
                </c:pt>
                <c:pt idx="76">
                  <c:v>75.5</c:v>
                </c:pt>
                <c:pt idx="77">
                  <c:v>75.400000000000006</c:v>
                </c:pt>
                <c:pt idx="78">
                  <c:v>75.400000000000006</c:v>
                </c:pt>
                <c:pt idx="79">
                  <c:v>75.3</c:v>
                </c:pt>
                <c:pt idx="80">
                  <c:v>75.3</c:v>
                </c:pt>
                <c:pt idx="81">
                  <c:v>75.099999999999994</c:v>
                </c:pt>
                <c:pt idx="82">
                  <c:v>75.099999999999994</c:v>
                </c:pt>
                <c:pt idx="83">
                  <c:v>75.099999999999994</c:v>
                </c:pt>
                <c:pt idx="84">
                  <c:v>75.099999999999994</c:v>
                </c:pt>
                <c:pt idx="85">
                  <c:v>75</c:v>
                </c:pt>
                <c:pt idx="86">
                  <c:v>74.8</c:v>
                </c:pt>
                <c:pt idx="87">
                  <c:v>74.8</c:v>
                </c:pt>
                <c:pt idx="88">
                  <c:v>74.599999999999994</c:v>
                </c:pt>
                <c:pt idx="89">
                  <c:v>74.5</c:v>
                </c:pt>
                <c:pt idx="90">
                  <c:v>74.5</c:v>
                </c:pt>
                <c:pt idx="91">
                  <c:v>74.5</c:v>
                </c:pt>
                <c:pt idx="92">
                  <c:v>74.400000000000006</c:v>
                </c:pt>
                <c:pt idx="93">
                  <c:v>74.3</c:v>
                </c:pt>
                <c:pt idx="94">
                  <c:v>74.3</c:v>
                </c:pt>
                <c:pt idx="95">
                  <c:v>74.099999999999994</c:v>
                </c:pt>
                <c:pt idx="96">
                  <c:v>74.099999999999994</c:v>
                </c:pt>
                <c:pt idx="97">
                  <c:v>74.099999999999994</c:v>
                </c:pt>
                <c:pt idx="98">
                  <c:v>73.900000000000006</c:v>
                </c:pt>
                <c:pt idx="99">
                  <c:v>73.900000000000006</c:v>
                </c:pt>
                <c:pt idx="100">
                  <c:v>73.8</c:v>
                </c:pt>
                <c:pt idx="101">
                  <c:v>73.599999999999994</c:v>
                </c:pt>
                <c:pt idx="102">
                  <c:v>73.599999999999994</c:v>
                </c:pt>
                <c:pt idx="103">
                  <c:v>73.400000000000006</c:v>
                </c:pt>
                <c:pt idx="104">
                  <c:v>73.3</c:v>
                </c:pt>
                <c:pt idx="105">
                  <c:v>73.3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72.900000000000006</c:v>
                </c:pt>
                <c:pt idx="110">
                  <c:v>72.8</c:v>
                </c:pt>
                <c:pt idx="111">
                  <c:v>72.7</c:v>
                </c:pt>
                <c:pt idx="112">
                  <c:v>72.900000000000006</c:v>
                </c:pt>
                <c:pt idx="113">
                  <c:v>72.599999999999994</c:v>
                </c:pt>
                <c:pt idx="114">
                  <c:v>72.5</c:v>
                </c:pt>
                <c:pt idx="115">
                  <c:v>72.400000000000006</c:v>
                </c:pt>
                <c:pt idx="116">
                  <c:v>72.099999999999994</c:v>
                </c:pt>
                <c:pt idx="117">
                  <c:v>72.099999999999994</c:v>
                </c:pt>
                <c:pt idx="118">
                  <c:v>72.099999999999994</c:v>
                </c:pt>
                <c:pt idx="119">
                  <c:v>72</c:v>
                </c:pt>
                <c:pt idx="120">
                  <c:v>71.900000000000006</c:v>
                </c:pt>
                <c:pt idx="121">
                  <c:v>71.8</c:v>
                </c:pt>
                <c:pt idx="122">
                  <c:v>71.8</c:v>
                </c:pt>
                <c:pt idx="123">
                  <c:v>71.7</c:v>
                </c:pt>
                <c:pt idx="124">
                  <c:v>71.7</c:v>
                </c:pt>
                <c:pt idx="125">
                  <c:v>71.5</c:v>
                </c:pt>
                <c:pt idx="126">
                  <c:v>71.5</c:v>
                </c:pt>
                <c:pt idx="127">
                  <c:v>71.2</c:v>
                </c:pt>
                <c:pt idx="128">
                  <c:v>71.099999999999994</c:v>
                </c:pt>
                <c:pt idx="129">
                  <c:v>70.900000000000006</c:v>
                </c:pt>
                <c:pt idx="130">
                  <c:v>70.8</c:v>
                </c:pt>
                <c:pt idx="131">
                  <c:v>70.599999999999994</c:v>
                </c:pt>
                <c:pt idx="132">
                  <c:v>70.5</c:v>
                </c:pt>
                <c:pt idx="133">
                  <c:v>70.400000000000006</c:v>
                </c:pt>
                <c:pt idx="134">
                  <c:v>69.900000000000006</c:v>
                </c:pt>
                <c:pt idx="135">
                  <c:v>69.900000000000006</c:v>
                </c:pt>
                <c:pt idx="136">
                  <c:v>69.900000000000006</c:v>
                </c:pt>
                <c:pt idx="137">
                  <c:v>69.8</c:v>
                </c:pt>
                <c:pt idx="138">
                  <c:v>69.7</c:v>
                </c:pt>
                <c:pt idx="139">
                  <c:v>69.599999999999994</c:v>
                </c:pt>
                <c:pt idx="140">
                  <c:v>69.5</c:v>
                </c:pt>
                <c:pt idx="141">
                  <c:v>69</c:v>
                </c:pt>
                <c:pt idx="142">
                  <c:v>68.400000000000006</c:v>
                </c:pt>
                <c:pt idx="143">
                  <c:v>68.2</c:v>
                </c:pt>
                <c:pt idx="144">
                  <c:v>67.900000000000006</c:v>
                </c:pt>
                <c:pt idx="145">
                  <c:v>67.900000000000006</c:v>
                </c:pt>
                <c:pt idx="146">
                  <c:v>67.900000000000006</c:v>
                </c:pt>
                <c:pt idx="147">
                  <c:v>67.400000000000006</c:v>
                </c:pt>
                <c:pt idx="148">
                  <c:v>67.3</c:v>
                </c:pt>
                <c:pt idx="149">
                  <c:v>67.099999999999994</c:v>
                </c:pt>
                <c:pt idx="150">
                  <c:v>67.099999999999994</c:v>
                </c:pt>
                <c:pt idx="151">
                  <c:v>67</c:v>
                </c:pt>
                <c:pt idx="152">
                  <c:v>66.7</c:v>
                </c:pt>
                <c:pt idx="153">
                  <c:v>66.599999999999994</c:v>
                </c:pt>
                <c:pt idx="154">
                  <c:v>66.5</c:v>
                </c:pt>
                <c:pt idx="155">
                  <c:v>66.3</c:v>
                </c:pt>
                <c:pt idx="156">
                  <c:v>66.099999999999994</c:v>
                </c:pt>
                <c:pt idx="157">
                  <c:v>65.5</c:v>
                </c:pt>
                <c:pt idx="158">
                  <c:v>65.3</c:v>
                </c:pt>
                <c:pt idx="159">
                  <c:v>64.900000000000006</c:v>
                </c:pt>
                <c:pt idx="160">
                  <c:v>64.8</c:v>
                </c:pt>
                <c:pt idx="161">
                  <c:v>64.599999999999994</c:v>
                </c:pt>
                <c:pt idx="162">
                  <c:v>64.5</c:v>
                </c:pt>
                <c:pt idx="163">
                  <c:v>64.3</c:v>
                </c:pt>
                <c:pt idx="164">
                  <c:v>64.3</c:v>
                </c:pt>
                <c:pt idx="165">
                  <c:v>64.099999999999994</c:v>
                </c:pt>
                <c:pt idx="166">
                  <c:v>64.099999999999994</c:v>
                </c:pt>
                <c:pt idx="167">
                  <c:v>64.099999999999994</c:v>
                </c:pt>
                <c:pt idx="168">
                  <c:v>64</c:v>
                </c:pt>
                <c:pt idx="169">
                  <c:v>63.9</c:v>
                </c:pt>
                <c:pt idx="170">
                  <c:v>63.7</c:v>
                </c:pt>
                <c:pt idx="171">
                  <c:v>63.4</c:v>
                </c:pt>
                <c:pt idx="172">
                  <c:v>62.4</c:v>
                </c:pt>
                <c:pt idx="173">
                  <c:v>62.1</c:v>
                </c:pt>
                <c:pt idx="174">
                  <c:v>61.8</c:v>
                </c:pt>
                <c:pt idx="175">
                  <c:v>61.6</c:v>
                </c:pt>
                <c:pt idx="176">
                  <c:v>61.6</c:v>
                </c:pt>
                <c:pt idx="177">
                  <c:v>61.6</c:v>
                </c:pt>
                <c:pt idx="178">
                  <c:v>61.5</c:v>
                </c:pt>
                <c:pt idx="179">
                  <c:v>61.5</c:v>
                </c:pt>
                <c:pt idx="180">
                  <c:v>61.2</c:v>
                </c:pt>
                <c:pt idx="181">
                  <c:v>61</c:v>
                </c:pt>
                <c:pt idx="182">
                  <c:v>60.9</c:v>
                </c:pt>
                <c:pt idx="183">
                  <c:v>60.7</c:v>
                </c:pt>
                <c:pt idx="184">
                  <c:v>60.2</c:v>
                </c:pt>
                <c:pt idx="185">
                  <c:v>59.3</c:v>
                </c:pt>
                <c:pt idx="186">
                  <c:v>59.3</c:v>
                </c:pt>
                <c:pt idx="187">
                  <c:v>58.7</c:v>
                </c:pt>
                <c:pt idx="188">
                  <c:v>58.3</c:v>
                </c:pt>
                <c:pt idx="189">
                  <c:v>57.9</c:v>
                </c:pt>
                <c:pt idx="190">
                  <c:v>57.8</c:v>
                </c:pt>
                <c:pt idx="191">
                  <c:v>54.7</c:v>
                </c:pt>
                <c:pt idx="192">
                  <c:v>54.7</c:v>
                </c:pt>
                <c:pt idx="193">
                  <c:v>54.3</c:v>
                </c:pt>
                <c:pt idx="194">
                  <c:v>54.2</c:v>
                </c:pt>
                <c:pt idx="195">
                  <c:v>53.3</c:v>
                </c:pt>
              </c:numCache>
            </c:numRef>
          </c:xVal>
          <c:yVal>
            <c:numRef>
              <c:f>'Life Expentancy Vs GDP'!$K$2:$K$197</c:f>
              <c:numCache>
                <c:formatCode>General</c:formatCode>
                <c:ptCount val="196"/>
                <c:pt idx="0">
                  <c:v>59848</c:v>
                </c:pt>
                <c:pt idx="1">
                  <c:v>41429</c:v>
                </c:pt>
                <c:pt idx="2">
                  <c:v>68628</c:v>
                </c:pt>
                <c:pt idx="3">
                  <c:v>97341</c:v>
                </c:pt>
                <c:pt idx="4">
                  <c:v>40903</c:v>
                </c:pt>
                <c:pt idx="5">
                  <c:v>42492</c:v>
                </c:pt>
                <c:pt idx="6">
                  <c:v>49854</c:v>
                </c:pt>
                <c:pt idx="7">
                  <c:v>55874</c:v>
                </c:pt>
                <c:pt idx="8">
                  <c:v>40145</c:v>
                </c:pt>
                <c:pt idx="9">
                  <c:v>42765</c:v>
                </c:pt>
                <c:pt idx="10">
                  <c:v>53240</c:v>
                </c:pt>
                <c:pt idx="11">
                  <c:v>46184</c:v>
                </c:pt>
                <c:pt idx="12">
                  <c:v>44032</c:v>
                </c:pt>
                <c:pt idx="13">
                  <c:v>63633</c:v>
                </c:pt>
                <c:pt idx="14">
                  <c:v>49031</c:v>
                </c:pt>
                <c:pt idx="15">
                  <c:v>86781</c:v>
                </c:pt>
                <c:pt idx="16">
                  <c:v>56935</c:v>
                </c:pt>
                <c:pt idx="17">
                  <c:v>42888</c:v>
                </c:pt>
                <c:pt idx="18">
                  <c:v>0</c:v>
                </c:pt>
                <c:pt idx="19">
                  <c:v>29799</c:v>
                </c:pt>
                <c:pt idx="20">
                  <c:v>34894</c:v>
                </c:pt>
                <c:pt idx="21">
                  <c:v>48668</c:v>
                </c:pt>
                <c:pt idx="22">
                  <c:v>0</c:v>
                </c:pt>
                <c:pt idx="23">
                  <c:v>51934</c:v>
                </c:pt>
                <c:pt idx="24">
                  <c:v>56188</c:v>
                </c:pt>
                <c:pt idx="25">
                  <c:v>53919</c:v>
                </c:pt>
                <c:pt idx="26">
                  <c:v>46659</c:v>
                </c:pt>
                <c:pt idx="27">
                  <c:v>39088</c:v>
                </c:pt>
                <c:pt idx="28">
                  <c:v>39545</c:v>
                </c:pt>
                <c:pt idx="29">
                  <c:v>57804</c:v>
                </c:pt>
                <c:pt idx="30">
                  <c:v>0</c:v>
                </c:pt>
                <c:pt idx="31">
                  <c:v>19642</c:v>
                </c:pt>
                <c:pt idx="32">
                  <c:v>24226</c:v>
                </c:pt>
                <c:pt idx="33">
                  <c:v>90044</c:v>
                </c:pt>
                <c:pt idx="34">
                  <c:v>40862</c:v>
                </c:pt>
                <c:pt idx="35">
                  <c:v>15639</c:v>
                </c:pt>
                <c:pt idx="36">
                  <c:v>62530</c:v>
                </c:pt>
                <c:pt idx="37">
                  <c:v>14552</c:v>
                </c:pt>
                <c:pt idx="38">
                  <c:v>19531</c:v>
                </c:pt>
                <c:pt idx="39">
                  <c:v>36927</c:v>
                </c:pt>
                <c:pt idx="40">
                  <c:v>0</c:v>
                </c:pt>
                <c:pt idx="41">
                  <c:v>33221</c:v>
                </c:pt>
                <c:pt idx="42">
                  <c:v>13965</c:v>
                </c:pt>
                <c:pt idx="43">
                  <c:v>28602</c:v>
                </c:pt>
                <c:pt idx="44">
                  <c:v>31459</c:v>
                </c:pt>
                <c:pt idx="45">
                  <c:v>11917</c:v>
                </c:pt>
                <c:pt idx="46">
                  <c:v>67119</c:v>
                </c:pt>
                <c:pt idx="47">
                  <c:v>21561</c:v>
                </c:pt>
                <c:pt idx="48">
                  <c:v>27299</c:v>
                </c:pt>
                <c:pt idx="49">
                  <c:v>28424</c:v>
                </c:pt>
                <c:pt idx="50">
                  <c:v>32730</c:v>
                </c:pt>
                <c:pt idx="51">
                  <c:v>14912</c:v>
                </c:pt>
                <c:pt idx="52">
                  <c:v>45011</c:v>
                </c:pt>
                <c:pt idx="53">
                  <c:v>14722</c:v>
                </c:pt>
                <c:pt idx="54">
                  <c:v>18460</c:v>
                </c:pt>
                <c:pt idx="55">
                  <c:v>13078</c:v>
                </c:pt>
                <c:pt idx="56">
                  <c:v>21910</c:v>
                </c:pt>
                <c:pt idx="57">
                  <c:v>11375</c:v>
                </c:pt>
                <c:pt idx="58">
                  <c:v>32945</c:v>
                </c:pt>
                <c:pt idx="59">
                  <c:v>21470</c:v>
                </c:pt>
                <c:pt idx="60">
                  <c:v>16117</c:v>
                </c:pt>
                <c:pt idx="61">
                  <c:v>11511</c:v>
                </c:pt>
                <c:pt idx="62">
                  <c:v>22064</c:v>
                </c:pt>
                <c:pt idx="63">
                  <c:v>12389</c:v>
                </c:pt>
                <c:pt idx="64">
                  <c:v>12848</c:v>
                </c:pt>
                <c:pt idx="65">
                  <c:v>10756</c:v>
                </c:pt>
                <c:pt idx="66">
                  <c:v>7515</c:v>
                </c:pt>
                <c:pt idx="67">
                  <c:v>28364</c:v>
                </c:pt>
                <c:pt idx="68">
                  <c:v>15449</c:v>
                </c:pt>
                <c:pt idx="69">
                  <c:v>29941</c:v>
                </c:pt>
                <c:pt idx="70">
                  <c:v>18233</c:v>
                </c:pt>
                <c:pt idx="71">
                  <c:v>37231</c:v>
                </c:pt>
                <c:pt idx="72">
                  <c:v>62100</c:v>
                </c:pt>
                <c:pt idx="73">
                  <c:v>14652</c:v>
                </c:pt>
                <c:pt idx="74">
                  <c:v>16479</c:v>
                </c:pt>
                <c:pt idx="75">
                  <c:v>0</c:v>
                </c:pt>
                <c:pt idx="76">
                  <c:v>49854</c:v>
                </c:pt>
                <c:pt idx="77">
                  <c:v>8041</c:v>
                </c:pt>
                <c:pt idx="78">
                  <c:v>0</c:v>
                </c:pt>
                <c:pt idx="79">
                  <c:v>30898</c:v>
                </c:pt>
                <c:pt idx="80">
                  <c:v>5728</c:v>
                </c:pt>
                <c:pt idx="81">
                  <c:v>46962</c:v>
                </c:pt>
                <c:pt idx="82">
                  <c:v>23174</c:v>
                </c:pt>
                <c:pt idx="83">
                  <c:v>19796</c:v>
                </c:pt>
                <c:pt idx="84">
                  <c:v>13654</c:v>
                </c:pt>
                <c:pt idx="85">
                  <c:v>22870</c:v>
                </c:pt>
                <c:pt idx="86">
                  <c:v>19150</c:v>
                </c:pt>
                <c:pt idx="87">
                  <c:v>26438</c:v>
                </c:pt>
                <c:pt idx="88">
                  <c:v>7005</c:v>
                </c:pt>
                <c:pt idx="89">
                  <c:v>9762</c:v>
                </c:pt>
                <c:pt idx="90">
                  <c:v>10071</c:v>
                </c:pt>
                <c:pt idx="91">
                  <c:v>5407</c:v>
                </c:pt>
                <c:pt idx="92">
                  <c:v>0</c:v>
                </c:pt>
                <c:pt idx="93">
                  <c:v>12685</c:v>
                </c:pt>
                <c:pt idx="94">
                  <c:v>8637</c:v>
                </c:pt>
                <c:pt idx="95">
                  <c:v>18413</c:v>
                </c:pt>
                <c:pt idx="96">
                  <c:v>6220</c:v>
                </c:pt>
                <c:pt idx="97">
                  <c:v>0</c:v>
                </c:pt>
                <c:pt idx="98">
                  <c:v>17579</c:v>
                </c:pt>
                <c:pt idx="99">
                  <c:v>37101</c:v>
                </c:pt>
                <c:pt idx="100">
                  <c:v>14992</c:v>
                </c:pt>
                <c:pt idx="101">
                  <c:v>26351</c:v>
                </c:pt>
                <c:pt idx="102">
                  <c:v>26176</c:v>
                </c:pt>
                <c:pt idx="103">
                  <c:v>29223</c:v>
                </c:pt>
                <c:pt idx="104">
                  <c:v>6521</c:v>
                </c:pt>
                <c:pt idx="105">
                  <c:v>8776</c:v>
                </c:pt>
                <c:pt idx="106">
                  <c:v>14404</c:v>
                </c:pt>
                <c:pt idx="107">
                  <c:v>7172</c:v>
                </c:pt>
                <c:pt idx="108">
                  <c:v>2663</c:v>
                </c:pt>
                <c:pt idx="109">
                  <c:v>15174</c:v>
                </c:pt>
                <c:pt idx="110">
                  <c:v>0</c:v>
                </c:pt>
                <c:pt idx="111">
                  <c:v>0</c:v>
                </c:pt>
                <c:pt idx="112">
                  <c:v>27044</c:v>
                </c:pt>
                <c:pt idx="113">
                  <c:v>4754</c:v>
                </c:pt>
                <c:pt idx="114">
                  <c:v>0</c:v>
                </c:pt>
                <c:pt idx="115">
                  <c:v>17039</c:v>
                </c:pt>
                <c:pt idx="116">
                  <c:v>12810</c:v>
                </c:pt>
                <c:pt idx="117">
                  <c:v>0</c:v>
                </c:pt>
                <c:pt idx="118">
                  <c:v>0</c:v>
                </c:pt>
                <c:pt idx="119">
                  <c:v>11763</c:v>
                </c:pt>
                <c:pt idx="120">
                  <c:v>13050</c:v>
                </c:pt>
                <c:pt idx="121">
                  <c:v>11832</c:v>
                </c:pt>
                <c:pt idx="122">
                  <c:v>16525</c:v>
                </c:pt>
                <c:pt idx="123">
                  <c:v>6999</c:v>
                </c:pt>
                <c:pt idx="124">
                  <c:v>11812</c:v>
                </c:pt>
                <c:pt idx="125">
                  <c:v>8724</c:v>
                </c:pt>
                <c:pt idx="126">
                  <c:v>5253</c:v>
                </c:pt>
                <c:pt idx="127">
                  <c:v>8908</c:v>
                </c:pt>
                <c:pt idx="128">
                  <c:v>3380</c:v>
                </c:pt>
                <c:pt idx="129">
                  <c:v>6383</c:v>
                </c:pt>
                <c:pt idx="130">
                  <c:v>3417</c:v>
                </c:pt>
                <c:pt idx="131">
                  <c:v>10881</c:v>
                </c:pt>
                <c:pt idx="132">
                  <c:v>3153</c:v>
                </c:pt>
                <c:pt idx="133">
                  <c:v>3970</c:v>
                </c:pt>
                <c:pt idx="134">
                  <c:v>12317</c:v>
                </c:pt>
                <c:pt idx="135">
                  <c:v>0</c:v>
                </c:pt>
                <c:pt idx="136">
                  <c:v>13082</c:v>
                </c:pt>
                <c:pt idx="137">
                  <c:v>4389</c:v>
                </c:pt>
                <c:pt idx="138">
                  <c:v>6700</c:v>
                </c:pt>
                <c:pt idx="139">
                  <c:v>17767</c:v>
                </c:pt>
                <c:pt idx="140">
                  <c:v>3553</c:v>
                </c:pt>
                <c:pt idx="141">
                  <c:v>2227</c:v>
                </c:pt>
                <c:pt idx="142">
                  <c:v>2272</c:v>
                </c:pt>
                <c:pt idx="143">
                  <c:v>0</c:v>
                </c:pt>
                <c:pt idx="144">
                  <c:v>0</c:v>
                </c:pt>
                <c:pt idx="145">
                  <c:v>7826</c:v>
                </c:pt>
                <c:pt idx="146">
                  <c:v>3395</c:v>
                </c:pt>
                <c:pt idx="147">
                  <c:v>13684</c:v>
                </c:pt>
                <c:pt idx="148">
                  <c:v>4690</c:v>
                </c:pt>
                <c:pt idx="149">
                  <c:v>5142</c:v>
                </c:pt>
                <c:pt idx="150">
                  <c:v>5535</c:v>
                </c:pt>
                <c:pt idx="151">
                  <c:v>1647</c:v>
                </c:pt>
                <c:pt idx="152">
                  <c:v>4330</c:v>
                </c:pt>
                <c:pt idx="153">
                  <c:v>2221</c:v>
                </c:pt>
                <c:pt idx="154">
                  <c:v>14950</c:v>
                </c:pt>
                <c:pt idx="155">
                  <c:v>1600</c:v>
                </c:pt>
                <c:pt idx="156">
                  <c:v>0</c:v>
                </c:pt>
                <c:pt idx="157">
                  <c:v>2660</c:v>
                </c:pt>
                <c:pt idx="158">
                  <c:v>3958</c:v>
                </c:pt>
                <c:pt idx="159">
                  <c:v>5197</c:v>
                </c:pt>
                <c:pt idx="160">
                  <c:v>2065</c:v>
                </c:pt>
                <c:pt idx="161">
                  <c:v>3673</c:v>
                </c:pt>
                <c:pt idx="162">
                  <c:v>4355</c:v>
                </c:pt>
                <c:pt idx="163">
                  <c:v>3060</c:v>
                </c:pt>
                <c:pt idx="164">
                  <c:v>1060</c:v>
                </c:pt>
                <c:pt idx="165">
                  <c:v>12482</c:v>
                </c:pt>
                <c:pt idx="166">
                  <c:v>5413</c:v>
                </c:pt>
                <c:pt idx="167">
                  <c:v>1428</c:v>
                </c:pt>
                <c:pt idx="168">
                  <c:v>2905</c:v>
                </c:pt>
                <c:pt idx="169">
                  <c:v>3470</c:v>
                </c:pt>
                <c:pt idx="170">
                  <c:v>9637</c:v>
                </c:pt>
                <c:pt idx="171">
                  <c:v>2187</c:v>
                </c:pt>
                <c:pt idx="172">
                  <c:v>1225</c:v>
                </c:pt>
                <c:pt idx="173">
                  <c:v>2223</c:v>
                </c:pt>
                <c:pt idx="174">
                  <c:v>3287</c:v>
                </c:pt>
                <c:pt idx="175">
                  <c:v>18558</c:v>
                </c:pt>
                <c:pt idx="176">
                  <c:v>2178</c:v>
                </c:pt>
                <c:pt idx="177">
                  <c:v>752</c:v>
                </c:pt>
                <c:pt idx="178">
                  <c:v>2836</c:v>
                </c:pt>
                <c:pt idx="179">
                  <c:v>0</c:v>
                </c:pt>
                <c:pt idx="180">
                  <c:v>6670</c:v>
                </c:pt>
                <c:pt idx="181">
                  <c:v>1597</c:v>
                </c:pt>
                <c:pt idx="182">
                  <c:v>1281</c:v>
                </c:pt>
                <c:pt idx="183">
                  <c:v>1098</c:v>
                </c:pt>
                <c:pt idx="184">
                  <c:v>8622</c:v>
                </c:pt>
                <c:pt idx="185">
                  <c:v>3642</c:v>
                </c:pt>
                <c:pt idx="186">
                  <c:v>2322</c:v>
                </c:pt>
                <c:pt idx="187">
                  <c:v>18558</c:v>
                </c:pt>
                <c:pt idx="188">
                  <c:v>1989</c:v>
                </c:pt>
                <c:pt idx="189">
                  <c:v>0</c:v>
                </c:pt>
                <c:pt idx="190">
                  <c:v>5213</c:v>
                </c:pt>
                <c:pt idx="191">
                  <c:v>5136</c:v>
                </c:pt>
                <c:pt idx="192">
                  <c:v>1718</c:v>
                </c:pt>
                <c:pt idx="193">
                  <c:v>2704</c:v>
                </c:pt>
                <c:pt idx="194">
                  <c:v>1580</c:v>
                </c:pt>
                <c:pt idx="195">
                  <c:v>945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908480"/>
        <c:axId val="1254895968"/>
      </c:scatterChart>
      <c:valAx>
        <c:axId val="125490848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Life expectancy at birth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.0_-;\-* #,##0.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895968"/>
        <c:crosses val="autoZero"/>
        <c:crossBetween val="midCat"/>
      </c:valAx>
      <c:valAx>
        <c:axId val="125489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GDP - per capita (PPP)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90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GDP / Life Expectancy Trend</a:t>
            </a:r>
            <a:endParaRPr lang="en-US" b="1">
              <a:effectLst/>
            </a:endParaRPr>
          </a:p>
        </c:rich>
      </c:tx>
      <c:layout/>
      <c:overlay val="0"/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tx2">
              <a:lumMod val="40000"/>
              <a:lumOff val="6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36842696088651"/>
          <c:y val="0.16655110819480898"/>
          <c:w val="0.79176056149804086"/>
          <c:h val="0.54653506853310008"/>
        </c:manualLayout>
      </c:layout>
      <c:lineChart>
        <c:grouping val="standard"/>
        <c:varyColors val="0"/>
        <c:ser>
          <c:idx val="0"/>
          <c:order val="0"/>
          <c:tx>
            <c:strRef>
              <c:f>'Life Expentancy Vs GDP'!$M$1</c:f>
              <c:strCache>
                <c:ptCount val="1"/>
                <c:pt idx="0">
                  <c:v>Scaled_Life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'Life Expentancy Vs GDP'!$M$2:$M$201</c:f>
              <c:numCache>
                <c:formatCode>General</c:formatCode>
                <c:ptCount val="200"/>
                <c:pt idx="0" formatCode="0.00000">
                  <c:v>1</c:v>
                </c:pt>
                <c:pt idx="1">
                  <c:v>0.99050632911392367</c:v>
                </c:pt>
                <c:pt idx="2">
                  <c:v>0.96518987341772122</c:v>
                </c:pt>
                <c:pt idx="3">
                  <c:v>0.95886075949367056</c:v>
                </c:pt>
                <c:pt idx="4">
                  <c:v>0.95569620253164544</c:v>
                </c:pt>
                <c:pt idx="5">
                  <c:v>0.95253164556962022</c:v>
                </c:pt>
                <c:pt idx="6">
                  <c:v>0.95253164556962022</c:v>
                </c:pt>
                <c:pt idx="7">
                  <c:v>0.93987341772151878</c:v>
                </c:pt>
                <c:pt idx="8">
                  <c:v>0.93987341772151878</c:v>
                </c:pt>
                <c:pt idx="9">
                  <c:v>0.93987341772151878</c:v>
                </c:pt>
                <c:pt idx="10">
                  <c:v>0.93354430379746811</c:v>
                </c:pt>
                <c:pt idx="11">
                  <c:v>0.930379746835443</c:v>
                </c:pt>
                <c:pt idx="12">
                  <c:v>0.92405063291139222</c:v>
                </c:pt>
                <c:pt idx="13">
                  <c:v>0.92088607594936711</c:v>
                </c:pt>
                <c:pt idx="14">
                  <c:v>0.92088607594936711</c:v>
                </c:pt>
                <c:pt idx="15">
                  <c:v>0.91772151898734156</c:v>
                </c:pt>
                <c:pt idx="16">
                  <c:v>0.91772151898734156</c:v>
                </c:pt>
                <c:pt idx="17">
                  <c:v>0.91772151898734156</c:v>
                </c:pt>
                <c:pt idx="18">
                  <c:v>0.91772151898734156</c:v>
                </c:pt>
                <c:pt idx="19">
                  <c:v>0.91455696202531633</c:v>
                </c:pt>
                <c:pt idx="20">
                  <c:v>0.91139240506329078</c:v>
                </c:pt>
                <c:pt idx="21">
                  <c:v>0.90506329113924056</c:v>
                </c:pt>
                <c:pt idx="22">
                  <c:v>0.90506329113924056</c:v>
                </c:pt>
                <c:pt idx="23">
                  <c:v>0.89556962025316422</c:v>
                </c:pt>
                <c:pt idx="24">
                  <c:v>0.89240506329113911</c:v>
                </c:pt>
                <c:pt idx="25">
                  <c:v>0.88607594936708833</c:v>
                </c:pt>
                <c:pt idx="26">
                  <c:v>0.88607594936708833</c:v>
                </c:pt>
                <c:pt idx="27">
                  <c:v>0.88607594936708833</c:v>
                </c:pt>
                <c:pt idx="28">
                  <c:v>0.87658227848101256</c:v>
                </c:pt>
                <c:pt idx="29">
                  <c:v>0.87341772151898733</c:v>
                </c:pt>
                <c:pt idx="30">
                  <c:v>0.86708860759493667</c:v>
                </c:pt>
                <c:pt idx="31">
                  <c:v>0.85443037974683522</c:v>
                </c:pt>
                <c:pt idx="32">
                  <c:v>0.85126582278481011</c:v>
                </c:pt>
                <c:pt idx="33">
                  <c:v>0.85126582278481011</c:v>
                </c:pt>
                <c:pt idx="34">
                  <c:v>0.82594936708860767</c:v>
                </c:pt>
                <c:pt idx="35">
                  <c:v>0.81962025316455689</c:v>
                </c:pt>
                <c:pt idx="36">
                  <c:v>0.81645569620253133</c:v>
                </c:pt>
                <c:pt idx="37">
                  <c:v>0.81012658227848111</c:v>
                </c:pt>
                <c:pt idx="38">
                  <c:v>0.81012658227848111</c:v>
                </c:pt>
                <c:pt idx="39">
                  <c:v>0.80696202531645544</c:v>
                </c:pt>
                <c:pt idx="40">
                  <c:v>0.80696202531645544</c:v>
                </c:pt>
                <c:pt idx="41">
                  <c:v>0.80379746835443033</c:v>
                </c:pt>
                <c:pt idx="42">
                  <c:v>0.80063291139240478</c:v>
                </c:pt>
                <c:pt idx="43">
                  <c:v>0.79746835443037967</c:v>
                </c:pt>
                <c:pt idx="44">
                  <c:v>0.79746835443037967</c:v>
                </c:pt>
                <c:pt idx="45">
                  <c:v>0.78797468354430378</c:v>
                </c:pt>
                <c:pt idx="46">
                  <c:v>0.781645569620253</c:v>
                </c:pt>
                <c:pt idx="47">
                  <c:v>0.77848101265822789</c:v>
                </c:pt>
                <c:pt idx="48">
                  <c:v>0.77848101265822789</c:v>
                </c:pt>
                <c:pt idx="49">
                  <c:v>0.77215189873417722</c:v>
                </c:pt>
                <c:pt idx="50">
                  <c:v>0.76582278481012644</c:v>
                </c:pt>
                <c:pt idx="51">
                  <c:v>0.76265822784810133</c:v>
                </c:pt>
                <c:pt idx="52">
                  <c:v>0.75949367088607578</c:v>
                </c:pt>
                <c:pt idx="53">
                  <c:v>0.75949367088607578</c:v>
                </c:pt>
                <c:pt idx="54">
                  <c:v>0.75632911392405056</c:v>
                </c:pt>
                <c:pt idx="55">
                  <c:v>0.74999999999999989</c:v>
                </c:pt>
                <c:pt idx="56">
                  <c:v>0.74999999999999989</c:v>
                </c:pt>
                <c:pt idx="57">
                  <c:v>0.74999999999999989</c:v>
                </c:pt>
                <c:pt idx="58">
                  <c:v>0.74683544303797478</c:v>
                </c:pt>
                <c:pt idx="59">
                  <c:v>0.74683544303797478</c:v>
                </c:pt>
                <c:pt idx="60">
                  <c:v>0.74683544303797478</c:v>
                </c:pt>
                <c:pt idx="61">
                  <c:v>0.74683544303797478</c:v>
                </c:pt>
                <c:pt idx="62">
                  <c:v>0.740506329113924</c:v>
                </c:pt>
                <c:pt idx="63">
                  <c:v>0.740506329113924</c:v>
                </c:pt>
                <c:pt idx="64">
                  <c:v>0.740506329113924</c:v>
                </c:pt>
                <c:pt idx="65">
                  <c:v>0.740506329113924</c:v>
                </c:pt>
                <c:pt idx="66">
                  <c:v>0.740506329113924</c:v>
                </c:pt>
                <c:pt idx="67">
                  <c:v>0.72468354430379744</c:v>
                </c:pt>
                <c:pt idx="68">
                  <c:v>0.72468354430379744</c:v>
                </c:pt>
                <c:pt idx="69">
                  <c:v>0.72151898734177189</c:v>
                </c:pt>
                <c:pt idx="70">
                  <c:v>0.71835443037974678</c:v>
                </c:pt>
                <c:pt idx="71">
                  <c:v>0.71518987341772156</c:v>
                </c:pt>
                <c:pt idx="72">
                  <c:v>0.71518987341772156</c:v>
                </c:pt>
                <c:pt idx="73">
                  <c:v>0.71518987341772156</c:v>
                </c:pt>
                <c:pt idx="74">
                  <c:v>0.712025316455696</c:v>
                </c:pt>
                <c:pt idx="75">
                  <c:v>0.70569620253164533</c:v>
                </c:pt>
                <c:pt idx="76">
                  <c:v>0.70253164556962011</c:v>
                </c:pt>
                <c:pt idx="77">
                  <c:v>0.699367088607595</c:v>
                </c:pt>
                <c:pt idx="78">
                  <c:v>0.699367088607595</c:v>
                </c:pt>
                <c:pt idx="79">
                  <c:v>0.69620253164556944</c:v>
                </c:pt>
                <c:pt idx="80">
                  <c:v>0.69620253164556944</c:v>
                </c:pt>
                <c:pt idx="81">
                  <c:v>0.68987341772151867</c:v>
                </c:pt>
                <c:pt idx="82">
                  <c:v>0.68987341772151867</c:v>
                </c:pt>
                <c:pt idx="83">
                  <c:v>0.68987341772151867</c:v>
                </c:pt>
                <c:pt idx="84">
                  <c:v>0.68987341772151867</c:v>
                </c:pt>
                <c:pt idx="85">
                  <c:v>0.68670886075949356</c:v>
                </c:pt>
                <c:pt idx="86">
                  <c:v>0.68037974683544289</c:v>
                </c:pt>
                <c:pt idx="87">
                  <c:v>0.68037974683544289</c:v>
                </c:pt>
                <c:pt idx="88">
                  <c:v>0.67405063291139211</c:v>
                </c:pt>
                <c:pt idx="89">
                  <c:v>0.670886075949367</c:v>
                </c:pt>
                <c:pt idx="90">
                  <c:v>0.670886075949367</c:v>
                </c:pt>
                <c:pt idx="91">
                  <c:v>0.670886075949367</c:v>
                </c:pt>
                <c:pt idx="92">
                  <c:v>0.66772151898734189</c:v>
                </c:pt>
                <c:pt idx="93">
                  <c:v>0.66455696202531622</c:v>
                </c:pt>
                <c:pt idx="94">
                  <c:v>0.66455696202531622</c:v>
                </c:pt>
                <c:pt idx="95">
                  <c:v>0.65822784810126556</c:v>
                </c:pt>
                <c:pt idx="96">
                  <c:v>0.65822784810126556</c:v>
                </c:pt>
                <c:pt idx="97">
                  <c:v>0.65822784810126556</c:v>
                </c:pt>
                <c:pt idx="98">
                  <c:v>0.65189873417721533</c:v>
                </c:pt>
                <c:pt idx="99">
                  <c:v>0.65189873417721533</c:v>
                </c:pt>
                <c:pt idx="100">
                  <c:v>0.64873417721518967</c:v>
                </c:pt>
                <c:pt idx="101">
                  <c:v>0.642405063291139</c:v>
                </c:pt>
                <c:pt idx="102">
                  <c:v>0.642405063291139</c:v>
                </c:pt>
                <c:pt idx="103">
                  <c:v>0.63607594936708867</c:v>
                </c:pt>
                <c:pt idx="104">
                  <c:v>0.63291139240506311</c:v>
                </c:pt>
                <c:pt idx="105">
                  <c:v>0.63291139240506311</c:v>
                </c:pt>
                <c:pt idx="106">
                  <c:v>0.62341772151898722</c:v>
                </c:pt>
                <c:pt idx="107">
                  <c:v>0.62341772151898722</c:v>
                </c:pt>
                <c:pt idx="108">
                  <c:v>0.62341772151898722</c:v>
                </c:pt>
                <c:pt idx="109">
                  <c:v>0.62025316455696211</c:v>
                </c:pt>
                <c:pt idx="110">
                  <c:v>0.61708860759493656</c:v>
                </c:pt>
                <c:pt idx="111">
                  <c:v>0.61392405063291144</c:v>
                </c:pt>
                <c:pt idx="112">
                  <c:v>0.62025316455696211</c:v>
                </c:pt>
                <c:pt idx="113">
                  <c:v>0.61075949367088578</c:v>
                </c:pt>
                <c:pt idx="114">
                  <c:v>0.60759493670886067</c:v>
                </c:pt>
                <c:pt idx="115">
                  <c:v>0.60443037974683556</c:v>
                </c:pt>
                <c:pt idx="116">
                  <c:v>0.59493670886075922</c:v>
                </c:pt>
                <c:pt idx="117">
                  <c:v>0.59493670886075922</c:v>
                </c:pt>
                <c:pt idx="118">
                  <c:v>0.59493670886075922</c:v>
                </c:pt>
                <c:pt idx="119">
                  <c:v>0.59177215189873411</c:v>
                </c:pt>
                <c:pt idx="120">
                  <c:v>0.588607594936709</c:v>
                </c:pt>
                <c:pt idx="121">
                  <c:v>0.58544303797468333</c:v>
                </c:pt>
                <c:pt idx="122">
                  <c:v>0.58544303797468333</c:v>
                </c:pt>
                <c:pt idx="123">
                  <c:v>0.58227848101265822</c:v>
                </c:pt>
                <c:pt idx="124">
                  <c:v>0.58227848101265822</c:v>
                </c:pt>
                <c:pt idx="125">
                  <c:v>0.57594936708860756</c:v>
                </c:pt>
                <c:pt idx="126">
                  <c:v>0.57594936708860756</c:v>
                </c:pt>
                <c:pt idx="127">
                  <c:v>0.56645569620253167</c:v>
                </c:pt>
                <c:pt idx="128">
                  <c:v>0.56329113924050611</c:v>
                </c:pt>
                <c:pt idx="129">
                  <c:v>0.55696202531645578</c:v>
                </c:pt>
                <c:pt idx="130">
                  <c:v>0.55379746835443022</c:v>
                </c:pt>
                <c:pt idx="131">
                  <c:v>0.54746835443037956</c:v>
                </c:pt>
                <c:pt idx="132">
                  <c:v>0.54430379746835433</c:v>
                </c:pt>
                <c:pt idx="133">
                  <c:v>0.54113924050632922</c:v>
                </c:pt>
                <c:pt idx="134">
                  <c:v>0.52531645569620267</c:v>
                </c:pt>
                <c:pt idx="135">
                  <c:v>0.52531645569620267</c:v>
                </c:pt>
                <c:pt idx="136">
                  <c:v>0.52531645569620267</c:v>
                </c:pt>
                <c:pt idx="137">
                  <c:v>0.52215189873417711</c:v>
                </c:pt>
                <c:pt idx="138">
                  <c:v>0.51898734177215189</c:v>
                </c:pt>
                <c:pt idx="139">
                  <c:v>0.51582278481012633</c:v>
                </c:pt>
                <c:pt idx="140">
                  <c:v>0.51265822784810122</c:v>
                </c:pt>
                <c:pt idx="141">
                  <c:v>0.49683544303797467</c:v>
                </c:pt>
                <c:pt idx="142">
                  <c:v>0.47784810126582294</c:v>
                </c:pt>
                <c:pt idx="143">
                  <c:v>0.47151898734177222</c:v>
                </c:pt>
                <c:pt idx="144">
                  <c:v>0.46202531645569633</c:v>
                </c:pt>
                <c:pt idx="145">
                  <c:v>0.46202531645569633</c:v>
                </c:pt>
                <c:pt idx="146">
                  <c:v>0.46202531645569633</c:v>
                </c:pt>
                <c:pt idx="147">
                  <c:v>0.44620253164556978</c:v>
                </c:pt>
                <c:pt idx="148">
                  <c:v>0.44303797468354417</c:v>
                </c:pt>
                <c:pt idx="149">
                  <c:v>0.43670886075949344</c:v>
                </c:pt>
                <c:pt idx="150">
                  <c:v>0.43670886075949344</c:v>
                </c:pt>
                <c:pt idx="151">
                  <c:v>0.43354430379746833</c:v>
                </c:pt>
                <c:pt idx="152">
                  <c:v>0.42405063291139244</c:v>
                </c:pt>
                <c:pt idx="153">
                  <c:v>0.42088607594936689</c:v>
                </c:pt>
                <c:pt idx="154">
                  <c:v>0.41772151898734172</c:v>
                </c:pt>
                <c:pt idx="155">
                  <c:v>0.41139240506329106</c:v>
                </c:pt>
                <c:pt idx="156">
                  <c:v>0.40506329113924033</c:v>
                </c:pt>
                <c:pt idx="157">
                  <c:v>0.38607594936708861</c:v>
                </c:pt>
                <c:pt idx="158">
                  <c:v>0.37974683544303789</c:v>
                </c:pt>
                <c:pt idx="159">
                  <c:v>0.36708860759493689</c:v>
                </c:pt>
                <c:pt idx="160">
                  <c:v>0.36392405063291128</c:v>
                </c:pt>
                <c:pt idx="161">
                  <c:v>0.35759493670886056</c:v>
                </c:pt>
                <c:pt idx="162">
                  <c:v>0.35443037974683544</c:v>
                </c:pt>
                <c:pt idx="163">
                  <c:v>0.34810126582278472</c:v>
                </c:pt>
                <c:pt idx="164">
                  <c:v>0.34810126582278472</c:v>
                </c:pt>
                <c:pt idx="165">
                  <c:v>0.341772151898734</c:v>
                </c:pt>
                <c:pt idx="166">
                  <c:v>0.341772151898734</c:v>
                </c:pt>
                <c:pt idx="167">
                  <c:v>0.341772151898734</c:v>
                </c:pt>
                <c:pt idx="168">
                  <c:v>0.33860759493670883</c:v>
                </c:pt>
                <c:pt idx="169">
                  <c:v>0.3354430379746835</c:v>
                </c:pt>
                <c:pt idx="170">
                  <c:v>0.329113924050633</c:v>
                </c:pt>
                <c:pt idx="171">
                  <c:v>0.31962025316455694</c:v>
                </c:pt>
                <c:pt idx="172">
                  <c:v>0.28797468354430378</c:v>
                </c:pt>
                <c:pt idx="173">
                  <c:v>0.27848101265822789</c:v>
                </c:pt>
                <c:pt idx="174">
                  <c:v>0.26898734177215183</c:v>
                </c:pt>
                <c:pt idx="175">
                  <c:v>0.26265822784810133</c:v>
                </c:pt>
                <c:pt idx="176">
                  <c:v>0.26265822784810133</c:v>
                </c:pt>
                <c:pt idx="177">
                  <c:v>0.26265822784810133</c:v>
                </c:pt>
                <c:pt idx="178">
                  <c:v>0.25949367088607594</c:v>
                </c:pt>
                <c:pt idx="179">
                  <c:v>0.25949367088607594</c:v>
                </c:pt>
                <c:pt idx="180">
                  <c:v>0.25000000000000011</c:v>
                </c:pt>
                <c:pt idx="181">
                  <c:v>0.24367088607594939</c:v>
                </c:pt>
                <c:pt idx="182">
                  <c:v>0.24050632911392403</c:v>
                </c:pt>
                <c:pt idx="183">
                  <c:v>0.23417721518987353</c:v>
                </c:pt>
                <c:pt idx="184">
                  <c:v>0.21835443037974694</c:v>
                </c:pt>
                <c:pt idx="185">
                  <c:v>0.18987341772151894</c:v>
                </c:pt>
                <c:pt idx="186">
                  <c:v>0.18987341772151894</c:v>
                </c:pt>
                <c:pt idx="187">
                  <c:v>0.17088607594936722</c:v>
                </c:pt>
                <c:pt idx="188">
                  <c:v>0.15822784810126578</c:v>
                </c:pt>
                <c:pt idx="189">
                  <c:v>0.14556962025316456</c:v>
                </c:pt>
                <c:pt idx="190">
                  <c:v>0.14240506329113919</c:v>
                </c:pt>
                <c:pt idx="191">
                  <c:v>4.4303797468354597E-2</c:v>
                </c:pt>
                <c:pt idx="192">
                  <c:v>4.4303797468354597E-2</c:v>
                </c:pt>
                <c:pt idx="193">
                  <c:v>3.1645569620253153E-2</c:v>
                </c:pt>
                <c:pt idx="194">
                  <c:v>2.8481012658228021E-2</c:v>
                </c:pt>
                <c:pt idx="1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'Life Expentancy Vs GDP'!$N$1</c:f>
              <c:strCache>
                <c:ptCount val="1"/>
                <c:pt idx="0">
                  <c:v>Scaled_GDP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'Life Expentancy Vs GDP'!$N$2:$N$201</c:f>
              <c:numCache>
                <c:formatCode>General</c:formatCode>
                <c:ptCount val="200"/>
                <c:pt idx="0">
                  <c:v>0.61482828407351475</c:v>
                </c:pt>
                <c:pt idx="1">
                  <c:v>0.42560688712875355</c:v>
                </c:pt>
                <c:pt idx="2">
                  <c:v>0.70502665885906246</c:v>
                </c:pt>
                <c:pt idx="3">
                  <c:v>1</c:v>
                </c:pt>
                <c:pt idx="4">
                  <c:v>0.42020320317235288</c:v>
                </c:pt>
                <c:pt idx="5">
                  <c:v>0.43652725983912227</c:v>
                </c:pt>
                <c:pt idx="6">
                  <c:v>0.51215828890190152</c:v>
                </c:pt>
                <c:pt idx="7">
                  <c:v>0.5740027326614684</c:v>
                </c:pt>
                <c:pt idx="8">
                  <c:v>0.41241614530362336</c:v>
                </c:pt>
                <c:pt idx="9">
                  <c:v>0.4393318334514747</c:v>
                </c:pt>
                <c:pt idx="10">
                  <c:v>0.54694322022580411</c:v>
                </c:pt>
                <c:pt idx="11">
                  <c:v>0.47445577916807924</c:v>
                </c:pt>
                <c:pt idx="12">
                  <c:v>0.45234793149854635</c:v>
                </c:pt>
                <c:pt idx="13">
                  <c:v>0.6537122076000863</c:v>
                </c:pt>
                <c:pt idx="14">
                  <c:v>0.50370347541118332</c:v>
                </c:pt>
                <c:pt idx="15">
                  <c:v>0.89151539433537774</c:v>
                </c:pt>
                <c:pt idx="16">
                  <c:v>0.58490255904500676</c:v>
                </c:pt>
                <c:pt idx="17">
                  <c:v>0.4405954325515456</c:v>
                </c:pt>
                <c:pt idx="18">
                  <c:v>0</c:v>
                </c:pt>
                <c:pt idx="19">
                  <c:v>0.30612999660985607</c:v>
                </c:pt>
                <c:pt idx="20">
                  <c:v>0.35847176421035332</c:v>
                </c:pt>
                <c:pt idx="21">
                  <c:v>0.49997431709146195</c:v>
                </c:pt>
                <c:pt idx="22">
                  <c:v>0</c:v>
                </c:pt>
                <c:pt idx="23">
                  <c:v>0.53352646880553933</c:v>
                </c:pt>
                <c:pt idx="24">
                  <c:v>0.57722850597384456</c:v>
                </c:pt>
                <c:pt idx="25">
                  <c:v>0.55391869818473205</c:v>
                </c:pt>
                <c:pt idx="26">
                  <c:v>0.47933553179030419</c:v>
                </c:pt>
                <c:pt idx="27">
                  <c:v>0.40155741157374591</c:v>
                </c:pt>
                <c:pt idx="28">
                  <c:v>0.4062522472544971</c:v>
                </c:pt>
                <c:pt idx="29">
                  <c:v>0.59382993805282458</c:v>
                </c:pt>
                <c:pt idx="30">
                  <c:v>0</c:v>
                </c:pt>
                <c:pt idx="31">
                  <c:v>0.20178547580156359</c:v>
                </c:pt>
                <c:pt idx="32">
                  <c:v>0.24887765689688826</c:v>
                </c:pt>
                <c:pt idx="33">
                  <c:v>0.92503672655920943</c:v>
                </c:pt>
                <c:pt idx="34">
                  <c:v>0.41978200347232925</c:v>
                </c:pt>
                <c:pt idx="35">
                  <c:v>0.16066200265047617</c:v>
                </c:pt>
                <c:pt idx="36">
                  <c:v>0.64238090835310913</c:v>
                </c:pt>
                <c:pt idx="37">
                  <c:v>0.14949507401814241</c:v>
                </c:pt>
                <c:pt idx="38">
                  <c:v>0.20064515466247521</c:v>
                </c:pt>
                <c:pt idx="39">
                  <c:v>0.37935710543347612</c:v>
                </c:pt>
                <c:pt idx="40">
                  <c:v>0</c:v>
                </c:pt>
                <c:pt idx="41">
                  <c:v>0.34128476181670619</c:v>
                </c:pt>
                <c:pt idx="42">
                  <c:v>0.14346472709341387</c:v>
                </c:pt>
                <c:pt idx="43">
                  <c:v>0.29383302000184919</c:v>
                </c:pt>
                <c:pt idx="44">
                  <c:v>0.32318344787910541</c:v>
                </c:pt>
                <c:pt idx="45">
                  <c:v>0.12242528841906289</c:v>
                </c:pt>
                <c:pt idx="46">
                  <c:v>0.68952445526550987</c:v>
                </c:pt>
                <c:pt idx="47">
                  <c:v>0.22149967639535242</c:v>
                </c:pt>
                <c:pt idx="48">
                  <c:v>0.28044708807182994</c:v>
                </c:pt>
                <c:pt idx="49">
                  <c:v>0.2920043969139417</c:v>
                </c:pt>
                <c:pt idx="50">
                  <c:v>0.33624063857983788</c:v>
                </c:pt>
                <c:pt idx="51">
                  <c:v>0.15319341284761817</c:v>
                </c:pt>
                <c:pt idx="52">
                  <c:v>0.4624053584820374</c:v>
                </c:pt>
                <c:pt idx="53">
                  <c:v>0.15124151179872819</c:v>
                </c:pt>
                <c:pt idx="54">
                  <c:v>0.18964259664478483</c:v>
                </c:pt>
                <c:pt idx="55">
                  <c:v>0.13435243114412221</c:v>
                </c:pt>
                <c:pt idx="56">
                  <c:v>0.22508501042726087</c:v>
                </c:pt>
                <c:pt idx="57">
                  <c:v>0.11685723384801883</c:v>
                </c:pt>
                <c:pt idx="58">
                  <c:v>0.33844936871410813</c:v>
                </c:pt>
                <c:pt idx="59">
                  <c:v>0.22056481852456827</c:v>
                </c:pt>
                <c:pt idx="60">
                  <c:v>0.16557257476294676</c:v>
                </c:pt>
                <c:pt idx="61">
                  <c:v>0.11825438407248744</c:v>
                </c:pt>
                <c:pt idx="62">
                  <c:v>0.22666707759320329</c:v>
                </c:pt>
                <c:pt idx="63">
                  <c:v>0.1272742215510422</c:v>
                </c:pt>
                <c:pt idx="64">
                  <c:v>0.1319896035586238</c:v>
                </c:pt>
                <c:pt idx="65">
                  <c:v>0.11049814569400356</c:v>
                </c:pt>
                <c:pt idx="66">
                  <c:v>7.72028230653065E-2</c:v>
                </c:pt>
                <c:pt idx="67">
                  <c:v>0.29138800710902907</c:v>
                </c:pt>
                <c:pt idx="68">
                  <c:v>0.15871010160158619</c:v>
                </c:pt>
                <c:pt idx="69">
                  <c:v>0.30758878581481597</c:v>
                </c:pt>
                <c:pt idx="70">
                  <c:v>0.18731058854953206</c:v>
                </c:pt>
                <c:pt idx="71">
                  <c:v>0.38248014711170009</c:v>
                </c:pt>
                <c:pt idx="72">
                  <c:v>0.63796344808456873</c:v>
                </c:pt>
                <c:pt idx="73">
                  <c:v>0.15052239035966344</c:v>
                </c:pt>
                <c:pt idx="74">
                  <c:v>0.16929145991925293</c:v>
                </c:pt>
                <c:pt idx="75">
                  <c:v>0</c:v>
                </c:pt>
                <c:pt idx="76">
                  <c:v>0.51215828890190152</c:v>
                </c:pt>
                <c:pt idx="77">
                  <c:v>8.2606507021707201E-2</c:v>
                </c:pt>
                <c:pt idx="78">
                  <c:v>0</c:v>
                </c:pt>
                <c:pt idx="79">
                  <c:v>0.31742020320317238</c:v>
                </c:pt>
                <c:pt idx="80">
                  <c:v>5.8844680042325431E-2</c:v>
                </c:pt>
                <c:pt idx="81">
                  <c:v>0.48244830030511293</c:v>
                </c:pt>
                <c:pt idx="82">
                  <c:v>0.23807028898408686</c:v>
                </c:pt>
                <c:pt idx="83">
                  <c:v>0.20336754296750598</c:v>
                </c:pt>
                <c:pt idx="84">
                  <c:v>0.14026977327128343</c:v>
                </c:pt>
                <c:pt idx="85">
                  <c:v>0.23494724730586289</c:v>
                </c:pt>
                <c:pt idx="86">
                  <c:v>0.19673107940128004</c:v>
                </c:pt>
                <c:pt idx="87">
                  <c:v>0.27160189437133375</c:v>
                </c:pt>
                <c:pt idx="88">
                  <c:v>7.1963509723549174E-2</c:v>
                </c:pt>
                <c:pt idx="89">
                  <c:v>0.10028662125928438</c:v>
                </c:pt>
                <c:pt idx="90">
                  <c:v>0.10346102875458441</c:v>
                </c:pt>
                <c:pt idx="91">
                  <c:v>5.5546994586042883E-2</c:v>
                </c:pt>
                <c:pt idx="92">
                  <c:v>0</c:v>
                </c:pt>
                <c:pt idx="93">
                  <c:v>0.13031507792194449</c:v>
                </c:pt>
                <c:pt idx="94">
                  <c:v>8.8729312417172621E-2</c:v>
                </c:pt>
                <c:pt idx="95">
                  <c:v>0.18915975796426993</c:v>
                </c:pt>
                <c:pt idx="96">
                  <c:v>6.3899076442608976E-2</c:v>
                </c:pt>
                <c:pt idx="97">
                  <c:v>0</c:v>
                </c:pt>
                <c:pt idx="98">
                  <c:v>0.18059193967598441</c:v>
                </c:pt>
                <c:pt idx="99">
                  <c:v>0.38114463586772274</c:v>
                </c:pt>
                <c:pt idx="100">
                  <c:v>0.154015265920835</c:v>
                </c:pt>
                <c:pt idx="101">
                  <c:v>0.27070812915421044</c:v>
                </c:pt>
                <c:pt idx="102">
                  <c:v>0.26891032555654865</c:v>
                </c:pt>
                <c:pt idx="103">
                  <c:v>0.30021265448269485</c:v>
                </c:pt>
                <c:pt idx="104">
                  <c:v>6.6991298630587323E-2</c:v>
                </c:pt>
                <c:pt idx="105">
                  <c:v>9.0157282131886868E-2</c:v>
                </c:pt>
                <c:pt idx="106">
                  <c:v>0.14797464583269127</c:v>
                </c:pt>
                <c:pt idx="107">
                  <c:v>7.3679128013889317E-2</c:v>
                </c:pt>
                <c:pt idx="108">
                  <c:v>2.7357434174705417E-2</c:v>
                </c:pt>
                <c:pt idx="109">
                  <c:v>0.1558849816624033</c:v>
                </c:pt>
                <c:pt idx="110">
                  <c:v>0</c:v>
                </c:pt>
                <c:pt idx="111">
                  <c:v>0</c:v>
                </c:pt>
                <c:pt idx="112">
                  <c:v>0.27782743140095129</c:v>
                </c:pt>
                <c:pt idx="113">
                  <c:v>4.8838618875910463E-2</c:v>
                </c:pt>
                <c:pt idx="114">
                  <c:v>0</c:v>
                </c:pt>
                <c:pt idx="115">
                  <c:v>0.17504443143177079</c:v>
                </c:pt>
                <c:pt idx="116">
                  <c:v>0.1315992233488458</c:v>
                </c:pt>
                <c:pt idx="117">
                  <c:v>0</c:v>
                </c:pt>
                <c:pt idx="118">
                  <c:v>0</c:v>
                </c:pt>
                <c:pt idx="119">
                  <c:v>0.12084322125312047</c:v>
                </c:pt>
                <c:pt idx="120">
                  <c:v>0.13406478256849633</c:v>
                </c:pt>
                <c:pt idx="121">
                  <c:v>0.12155206952877</c:v>
                </c:pt>
                <c:pt idx="122">
                  <c:v>0.16976402543635261</c:v>
                </c:pt>
                <c:pt idx="123">
                  <c:v>7.1901870743057913E-2</c:v>
                </c:pt>
                <c:pt idx="124">
                  <c:v>0.12134660626046578</c:v>
                </c:pt>
                <c:pt idx="125">
                  <c:v>8.9623077634295931E-2</c:v>
                </c:pt>
                <c:pt idx="126">
                  <c:v>5.3964927420100471E-2</c:v>
                </c:pt>
                <c:pt idx="127">
                  <c:v>9.1513339702694652E-2</c:v>
                </c:pt>
                <c:pt idx="128">
                  <c:v>3.4723292343411309E-2</c:v>
                </c:pt>
                <c:pt idx="129">
                  <c:v>6.5573602079288279E-2</c:v>
                </c:pt>
                <c:pt idx="130">
                  <c:v>3.5103399389774095E-2</c:v>
                </c:pt>
                <c:pt idx="131">
                  <c:v>0.11178229112090486</c:v>
                </c:pt>
                <c:pt idx="132">
                  <c:v>3.2391284248158535E-2</c:v>
                </c:pt>
                <c:pt idx="133">
                  <c:v>4.0784458758385468E-2</c:v>
                </c:pt>
                <c:pt idx="134">
                  <c:v>0.12653455378514705</c:v>
                </c:pt>
                <c:pt idx="135">
                  <c:v>0</c:v>
                </c:pt>
                <c:pt idx="136">
                  <c:v>0.13439352379778305</c:v>
                </c:pt>
                <c:pt idx="137">
                  <c:v>4.5088914229358644E-2</c:v>
                </c:pt>
                <c:pt idx="138">
                  <c:v>6.8830194881909987E-2</c:v>
                </c:pt>
                <c:pt idx="139">
                  <c:v>0.18252329439804399</c:v>
                </c:pt>
                <c:pt idx="140">
                  <c:v>3.6500549614242712E-2</c:v>
                </c:pt>
                <c:pt idx="141">
                  <c:v>2.2878334925673663E-2</c:v>
                </c:pt>
                <c:pt idx="142">
                  <c:v>2.3340627279358133E-2</c:v>
                </c:pt>
                <c:pt idx="143">
                  <c:v>0</c:v>
                </c:pt>
                <c:pt idx="144">
                  <c:v>0</c:v>
                </c:pt>
                <c:pt idx="145">
                  <c:v>8.0397776887436948E-2</c:v>
                </c:pt>
                <c:pt idx="146">
                  <c:v>3.487738979463946E-2</c:v>
                </c:pt>
                <c:pt idx="147">
                  <c:v>0.14057796817373974</c:v>
                </c:pt>
                <c:pt idx="148">
                  <c:v>4.8181136417336991E-2</c:v>
                </c:pt>
                <c:pt idx="149">
                  <c:v>5.2824606281012113E-2</c:v>
                </c:pt>
                <c:pt idx="150">
                  <c:v>5.686195950318982E-2</c:v>
                </c:pt>
                <c:pt idx="151">
                  <c:v>1.6919900144851605E-2</c:v>
                </c:pt>
                <c:pt idx="152">
                  <c:v>4.4482797587861229E-2</c:v>
                </c:pt>
                <c:pt idx="153">
                  <c:v>2.2816695945182399E-2</c:v>
                </c:pt>
                <c:pt idx="154">
                  <c:v>0.15358379305739617</c:v>
                </c:pt>
                <c:pt idx="155">
                  <c:v>1.6437061464336714E-2</c:v>
                </c:pt>
                <c:pt idx="156">
                  <c:v>0</c:v>
                </c:pt>
                <c:pt idx="157">
                  <c:v>2.7326614684459787E-2</c:v>
                </c:pt>
                <c:pt idx="158">
                  <c:v>4.0661180797402947E-2</c:v>
                </c:pt>
                <c:pt idx="159">
                  <c:v>5.3389630268848687E-2</c:v>
                </c:pt>
                <c:pt idx="160">
                  <c:v>2.121408245240957E-2</c:v>
                </c:pt>
                <c:pt idx="161">
                  <c:v>3.7733329224067969E-2</c:v>
                </c:pt>
                <c:pt idx="162">
                  <c:v>4.4739626673241488E-2</c:v>
                </c:pt>
                <c:pt idx="163">
                  <c:v>3.1435880050543964E-2</c:v>
                </c:pt>
                <c:pt idx="164">
                  <c:v>1.0889553220123072E-2</c:v>
                </c:pt>
                <c:pt idx="165">
                  <c:v>0.12822962574865679</c:v>
                </c:pt>
                <c:pt idx="166">
                  <c:v>5.5608633566534144E-2</c:v>
                </c:pt>
                <c:pt idx="167">
                  <c:v>1.4670077356920516E-2</c:v>
                </c:pt>
                <c:pt idx="168">
                  <c:v>2.9843539721186346E-2</c:v>
                </c:pt>
                <c:pt idx="169">
                  <c:v>3.5647877050780249E-2</c:v>
                </c:pt>
                <c:pt idx="170">
                  <c:v>9.9002475832383072E-2</c:v>
                </c:pt>
                <c:pt idx="171">
                  <c:v>2.2467408389065247E-2</c:v>
                </c:pt>
                <c:pt idx="172">
                  <c:v>1.2584625183632797E-2</c:v>
                </c:pt>
                <c:pt idx="173">
                  <c:v>2.2837242272012823E-2</c:v>
                </c:pt>
                <c:pt idx="174">
                  <c:v>3.3767888145796739E-2</c:v>
                </c:pt>
                <c:pt idx="175">
                  <c:v>0.19064936665947546</c:v>
                </c:pt>
                <c:pt idx="176">
                  <c:v>2.2374949918328352E-2</c:v>
                </c:pt>
                <c:pt idx="177">
                  <c:v>7.725418888238255E-3</c:v>
                </c:pt>
                <c:pt idx="178">
                  <c:v>2.9134691445536823E-2</c:v>
                </c:pt>
                <c:pt idx="179">
                  <c:v>0</c:v>
                </c:pt>
                <c:pt idx="180">
                  <c:v>6.8521999979453671E-2</c:v>
                </c:pt>
                <c:pt idx="181">
                  <c:v>1.6406241974091081E-2</c:v>
                </c:pt>
                <c:pt idx="182">
                  <c:v>1.3159922334884581E-2</c:v>
                </c:pt>
                <c:pt idx="183">
                  <c:v>1.127993342990107E-2</c:v>
                </c:pt>
                <c:pt idx="184">
                  <c:v>8.8575214965944463E-2</c:v>
                </c:pt>
                <c:pt idx="185">
                  <c:v>3.7414861158196443E-2</c:v>
                </c:pt>
                <c:pt idx="186">
                  <c:v>2.3854285450118654E-2</c:v>
                </c:pt>
                <c:pt idx="187">
                  <c:v>0.19064936665947546</c:v>
                </c:pt>
                <c:pt idx="188">
                  <c:v>2.0433322032853578E-2</c:v>
                </c:pt>
                <c:pt idx="189">
                  <c:v>0</c:v>
                </c:pt>
                <c:pt idx="190">
                  <c:v>5.3554000883492055E-2</c:v>
                </c:pt>
                <c:pt idx="191">
                  <c:v>5.2762967300520852E-2</c:v>
                </c:pt>
                <c:pt idx="192">
                  <c:v>1.7649294747331547E-2</c:v>
                </c:pt>
                <c:pt idx="193">
                  <c:v>2.7778633874729047E-2</c:v>
                </c:pt>
                <c:pt idx="194">
                  <c:v>1.6231598196032503E-2</c:v>
                </c:pt>
                <c:pt idx="195">
                  <c:v>9.7081394273738717E-3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4918816"/>
        <c:axId val="1254901408"/>
      </c:lineChart>
      <c:catAx>
        <c:axId val="1254918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901408"/>
        <c:crosses val="autoZero"/>
        <c:auto val="1"/>
        <c:lblAlgn val="ctr"/>
        <c:lblOffset val="100"/>
        <c:noMultiLvlLbl val="0"/>
      </c:catAx>
      <c:valAx>
        <c:axId val="12549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GDP / Life Expectancy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91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5</xdr:row>
      <xdr:rowOff>14286</xdr:rowOff>
    </xdr:from>
    <xdr:to>
      <xdr:col>13</xdr:col>
      <xdr:colOff>495300</xdr:colOff>
      <xdr:row>26</xdr:row>
      <xdr:rowOff>38099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59531</xdr:colOff>
      <xdr:row>189</xdr:row>
      <xdr:rowOff>130969</xdr:rowOff>
    </xdr:from>
    <xdr:to>
      <xdr:col>4</xdr:col>
      <xdr:colOff>1976438</xdr:colOff>
      <xdr:row>212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212</xdr:row>
          <xdr:rowOff>28575</xdr:rowOff>
        </xdr:from>
        <xdr:to>
          <xdr:col>2</xdr:col>
          <xdr:colOff>666750</xdr:colOff>
          <xdr:row>214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212</xdr:row>
          <xdr:rowOff>19050</xdr:rowOff>
        </xdr:from>
        <xdr:to>
          <xdr:col>3</xdr:col>
          <xdr:colOff>838200</xdr:colOff>
          <xdr:row>214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212</xdr:row>
          <xdr:rowOff>0</xdr:rowOff>
        </xdr:from>
        <xdr:to>
          <xdr:col>4</xdr:col>
          <xdr:colOff>1304925</xdr:colOff>
          <xdr:row>214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198</xdr:row>
      <xdr:rowOff>19050</xdr:rowOff>
    </xdr:from>
    <xdr:to>
      <xdr:col>9</xdr:col>
      <xdr:colOff>514350</xdr:colOff>
      <xdr:row>211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533399</xdr:colOff>
      <xdr:row>8</xdr:row>
      <xdr:rowOff>171450</xdr:rowOff>
    </xdr:from>
    <xdr:to>
      <xdr:col>25</xdr:col>
      <xdr:colOff>428624</xdr:colOff>
      <xdr:row>27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485776</xdr:colOff>
      <xdr:row>30</xdr:row>
      <xdr:rowOff>9525</xdr:rowOff>
    </xdr:from>
    <xdr:to>
      <xdr:col>25</xdr:col>
      <xdr:colOff>352426</xdr:colOff>
      <xdr:row>44</xdr:row>
      <xdr:rowOff>85725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D229" totalsRowShown="0" headerRowDxfId="29">
  <autoFilter ref="A1:D229">
    <filterColumn colId="3">
      <filters>
        <filter val="2020"/>
      </filters>
    </filterColumn>
  </autoFilter>
  <tableColumns count="4">
    <tableColumn id="1" name="Rank"/>
    <tableColumn id="2" name="Country"/>
    <tableColumn id="3" name="GDP - per capita (PPP)" dataDxfId="28" dataCellStyle="Currency"/>
    <tableColumn id="4" name="Year of Inform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E189" totalsRowShown="0" headerRowDxfId="27" dataDxfId="25" headerRowBorderDxfId="26" tableBorderDxfId="24" totalsRowBorderDxfId="23">
  <autoFilter ref="B1:E189">
    <filterColumn colId="2">
      <top10 val="20" filterVal="49854"/>
    </filterColumn>
  </autoFilter>
  <sortState ref="B2:E189">
    <sortCondition descending="1" ref="D1:D189"/>
  </sortState>
  <tableColumns count="4">
    <tableColumn id="1" name="Rank" dataDxfId="22"/>
    <tableColumn id="2" name="Country" dataDxfId="21"/>
    <tableColumn id="3" name="GDP - per capita (PPP)" dataDxfId="20" dataCellStyle="Currency"/>
    <tableColumn id="4" name="Year of Information" dataDxfId="1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D197" totalsRowShown="0" headerRowDxfId="17">
  <autoFilter ref="A1:D197">
    <filterColumn colId="2">
      <top10 val="15" filterVal="82.4"/>
    </filterColumn>
  </autoFilter>
  <tableColumns count="4">
    <tableColumn id="1" name="Rank"/>
    <tableColumn id="2" name="Country"/>
    <tableColumn id="3" name="Life expectancy at birth" dataDxfId="18" dataCellStyle="Comma"/>
    <tableColumn id="4" name="Date of Informa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1:E189" totalsRowShown="0" headerRowBorderDxfId="15" tableBorderDxfId="16" totalsRowBorderDxfId="14">
  <autoFilter ref="A1:E189"/>
  <sortState ref="A2:D189">
    <sortCondition ref="A1:A189"/>
  </sortState>
  <tableColumns count="5">
    <tableColumn id="1" name="Country" dataDxfId="13"/>
    <tableColumn id="2" name="Rank" dataDxfId="12"/>
    <tableColumn id="3" name="GDP - per capita (PPP)" dataDxfId="11" dataCellStyle="Currency"/>
    <tableColumn id="4" name="Year of Information" dataDxfId="10"/>
    <tableColumn id="6" name="Column1" dataDxf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Table38" displayName="Table38" ref="G1:N197" totalsRowShown="0" headerRowDxfId="9">
  <autoFilter ref="G1:N197"/>
  <tableColumns count="8">
    <tableColumn id="1" name="Rank" dataDxfId="3"/>
    <tableColumn id="2" name="Country"/>
    <tableColumn id="3" name="Life expectancy at birth" dataDxfId="2" dataCellStyle="Comma"/>
    <tableColumn id="4" name="Date of Information"/>
    <tableColumn id="6" name="GDP - per capita (PPP)" dataDxfId="5">
      <calculatedColumnFormula>IFERROR(VLOOKUP("*"&amp;Table38[[#This Row],[Country]]&amp;"*",Table6[],3,FALSE),0)</calculatedColumnFormula>
    </tableColumn>
    <tableColumn id="7" name="Correlation_Value" dataDxfId="4">
      <calculatedColumnFormula>CORREL(Table38[Life expectancy at birth],Table38[GDP - per capita (PPP)])</calculatedColumnFormula>
    </tableColumn>
    <tableColumn id="8" name="Scaled_Life" dataDxfId="0">
      <calculatedColumnFormula>(Table38[[#This Row],[Life expectancy at birth]]-$I$199)/$I$201</calculatedColumnFormula>
    </tableColumn>
    <tableColumn id="9" name="Scaled_GDP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9"/>
  <sheetViews>
    <sheetView zoomScaleNormal="100" zoomScaleSheetLayoutView="100" workbookViewId="0">
      <selection activeCell="E27" sqref="E27"/>
    </sheetView>
  </sheetViews>
  <sheetFormatPr defaultRowHeight="15" x14ac:dyDescent="0.25"/>
  <cols>
    <col min="2" max="2" width="29.7109375" bestFit="1" customWidth="1"/>
    <col min="3" max="3" width="22.5703125" style="8" customWidth="1"/>
    <col min="4" max="5" width="20.42578125" customWidth="1"/>
  </cols>
  <sheetData>
    <row r="1" spans="1:7" x14ac:dyDescent="0.25">
      <c r="A1" s="1" t="s">
        <v>0</v>
      </c>
      <c r="B1" s="1" t="s">
        <v>1</v>
      </c>
      <c r="C1" s="7" t="s">
        <v>2</v>
      </c>
      <c r="D1" s="1" t="s">
        <v>3</v>
      </c>
      <c r="E1" s="1"/>
      <c r="G1">
        <f>COUNT(Table1[Year of Information])</f>
        <v>228</v>
      </c>
    </row>
    <row r="2" spans="1:7" hidden="1" x14ac:dyDescent="0.25">
      <c r="A2">
        <v>1</v>
      </c>
      <c r="B2" s="6" t="s">
        <v>4</v>
      </c>
      <c r="C2" s="8">
        <v>190513</v>
      </c>
      <c r="D2" s="5">
        <v>2019</v>
      </c>
      <c r="E2" s="5"/>
    </row>
    <row r="3" spans="1:7" hidden="1" x14ac:dyDescent="0.25">
      <c r="A3">
        <v>2</v>
      </c>
      <c r="B3" t="s">
        <v>5</v>
      </c>
      <c r="C3" s="8">
        <v>180367</v>
      </c>
      <c r="D3">
        <v>2018</v>
      </c>
    </row>
    <row r="4" spans="1:7" hidden="1" x14ac:dyDescent="0.25">
      <c r="A4">
        <v>3</v>
      </c>
      <c r="B4" t="s">
        <v>6</v>
      </c>
      <c r="C4" s="8">
        <v>123965</v>
      </c>
      <c r="D4">
        <v>2019</v>
      </c>
    </row>
    <row r="5" spans="1:7" x14ac:dyDescent="0.25">
      <c r="A5">
        <v>4</v>
      </c>
      <c r="B5" t="s">
        <v>7</v>
      </c>
      <c r="C5" s="8">
        <v>115874</v>
      </c>
      <c r="D5">
        <v>2020</v>
      </c>
    </row>
    <row r="6" spans="1:7" hidden="1" x14ac:dyDescent="0.25">
      <c r="A6">
        <v>5</v>
      </c>
      <c r="B6" t="s">
        <v>8</v>
      </c>
      <c r="C6" s="8">
        <v>97341</v>
      </c>
      <c r="D6">
        <v>2019</v>
      </c>
    </row>
    <row r="7" spans="1:7" hidden="1" x14ac:dyDescent="0.25">
      <c r="A7">
        <v>6</v>
      </c>
      <c r="B7" t="s">
        <v>9</v>
      </c>
      <c r="C7" s="8">
        <v>90044</v>
      </c>
      <c r="D7">
        <v>2019</v>
      </c>
    </row>
    <row r="8" spans="1:7" hidden="1" x14ac:dyDescent="0.25">
      <c r="A8">
        <v>7</v>
      </c>
      <c r="B8" t="s">
        <v>10</v>
      </c>
      <c r="C8" s="8">
        <v>86781</v>
      </c>
      <c r="D8">
        <v>2019</v>
      </c>
    </row>
    <row r="9" spans="1:7" hidden="1" x14ac:dyDescent="0.25">
      <c r="A9">
        <v>8</v>
      </c>
      <c r="B9" t="s">
        <v>11</v>
      </c>
      <c r="C9" s="8">
        <v>84600</v>
      </c>
      <c r="D9">
        <v>2014</v>
      </c>
    </row>
    <row r="10" spans="1:7" hidden="1" x14ac:dyDescent="0.25">
      <c r="A10">
        <v>9</v>
      </c>
      <c r="B10" t="s">
        <v>12</v>
      </c>
      <c r="C10" s="8">
        <v>81798</v>
      </c>
      <c r="D10">
        <v>2019</v>
      </c>
    </row>
    <row r="11" spans="1:7" hidden="1" x14ac:dyDescent="0.25">
      <c r="A11">
        <v>10</v>
      </c>
      <c r="B11" t="s">
        <v>13</v>
      </c>
      <c r="C11" s="8">
        <v>71549</v>
      </c>
      <c r="D11">
        <v>2018</v>
      </c>
    </row>
    <row r="12" spans="1:7" hidden="1" x14ac:dyDescent="0.25">
      <c r="A12">
        <v>11</v>
      </c>
      <c r="B12" t="s">
        <v>14</v>
      </c>
      <c r="C12" s="8">
        <v>70800</v>
      </c>
      <c r="D12">
        <v>2015</v>
      </c>
    </row>
    <row r="13" spans="1:7" hidden="1" x14ac:dyDescent="0.25">
      <c r="A13">
        <v>12</v>
      </c>
      <c r="B13" t="s">
        <v>15</v>
      </c>
      <c r="C13" s="8">
        <v>68628</v>
      </c>
      <c r="D13">
        <v>2019</v>
      </c>
    </row>
    <row r="14" spans="1:7" hidden="1" x14ac:dyDescent="0.25">
      <c r="A14">
        <v>13</v>
      </c>
      <c r="B14" t="s">
        <v>16</v>
      </c>
      <c r="C14" s="8">
        <v>67119</v>
      </c>
      <c r="D14">
        <v>2019</v>
      </c>
    </row>
    <row r="15" spans="1:7" hidden="1" x14ac:dyDescent="0.25">
      <c r="A15">
        <v>14</v>
      </c>
      <c r="B15" t="s">
        <v>17</v>
      </c>
      <c r="C15" s="8">
        <v>63633</v>
      </c>
      <c r="D15">
        <v>2019</v>
      </c>
    </row>
    <row r="16" spans="1:7" hidden="1" x14ac:dyDescent="0.25">
      <c r="A16">
        <v>15</v>
      </c>
      <c r="B16" t="s">
        <v>18</v>
      </c>
      <c r="C16" s="8">
        <v>62530</v>
      </c>
      <c r="D16">
        <v>2019</v>
      </c>
    </row>
    <row r="17" spans="1:4" hidden="1" x14ac:dyDescent="0.25">
      <c r="A17">
        <v>16</v>
      </c>
      <c r="B17" t="s">
        <v>19</v>
      </c>
      <c r="C17" s="8">
        <v>62100</v>
      </c>
      <c r="D17">
        <v>2019</v>
      </c>
    </row>
    <row r="18" spans="1:4" hidden="1" x14ac:dyDescent="0.25">
      <c r="A18">
        <v>17</v>
      </c>
      <c r="B18" t="s">
        <v>20</v>
      </c>
      <c r="C18" s="8">
        <v>61700</v>
      </c>
      <c r="D18">
        <v>2014</v>
      </c>
    </row>
    <row r="19" spans="1:4" hidden="1" x14ac:dyDescent="0.25">
      <c r="A19">
        <v>18</v>
      </c>
      <c r="B19" t="s">
        <v>21</v>
      </c>
      <c r="C19" s="8">
        <v>59848</v>
      </c>
      <c r="D19">
        <v>2019</v>
      </c>
    </row>
    <row r="20" spans="1:4" hidden="1" x14ac:dyDescent="0.25">
      <c r="A20">
        <v>19</v>
      </c>
      <c r="B20" t="s">
        <v>22</v>
      </c>
      <c r="C20" s="8">
        <v>59439</v>
      </c>
      <c r="D20">
        <v>2018</v>
      </c>
    </row>
    <row r="21" spans="1:4" hidden="1" x14ac:dyDescent="0.25">
      <c r="A21">
        <v>20</v>
      </c>
      <c r="B21" t="s">
        <v>23</v>
      </c>
      <c r="C21" s="8">
        <v>57804</v>
      </c>
      <c r="D21">
        <v>2019</v>
      </c>
    </row>
    <row r="22" spans="1:4" hidden="1" x14ac:dyDescent="0.25">
      <c r="A22">
        <v>21</v>
      </c>
      <c r="B22" t="s">
        <v>24</v>
      </c>
      <c r="C22" s="8">
        <v>56935</v>
      </c>
      <c r="D22">
        <v>2019</v>
      </c>
    </row>
    <row r="23" spans="1:4" hidden="1" x14ac:dyDescent="0.25">
      <c r="A23">
        <v>22</v>
      </c>
      <c r="B23" t="s">
        <v>25</v>
      </c>
      <c r="C23" s="8">
        <v>56600</v>
      </c>
      <c r="D23">
        <v>2016</v>
      </c>
    </row>
    <row r="24" spans="1:4" hidden="1" x14ac:dyDescent="0.25">
      <c r="A24">
        <v>23</v>
      </c>
      <c r="B24" t="s">
        <v>26</v>
      </c>
      <c r="C24" s="8">
        <v>56188</v>
      </c>
      <c r="D24">
        <v>2019</v>
      </c>
    </row>
    <row r="25" spans="1:4" hidden="1" x14ac:dyDescent="0.25">
      <c r="A25">
        <v>24</v>
      </c>
      <c r="B25" t="s">
        <v>27</v>
      </c>
      <c r="C25" s="8">
        <v>55874</v>
      </c>
      <c r="D25">
        <v>2019</v>
      </c>
    </row>
    <row r="26" spans="1:4" hidden="1" x14ac:dyDescent="0.25">
      <c r="A26">
        <v>25</v>
      </c>
      <c r="B26" t="s">
        <v>28</v>
      </c>
      <c r="C26" s="8">
        <v>53919</v>
      </c>
      <c r="D26">
        <v>2019</v>
      </c>
    </row>
    <row r="27" spans="1:4" hidden="1" x14ac:dyDescent="0.25">
      <c r="A27">
        <v>26</v>
      </c>
      <c r="B27" t="s">
        <v>29</v>
      </c>
      <c r="C27" s="8">
        <v>53240</v>
      </c>
      <c r="D27">
        <v>2019</v>
      </c>
    </row>
    <row r="28" spans="1:4" hidden="1" x14ac:dyDescent="0.25">
      <c r="A28">
        <v>27</v>
      </c>
      <c r="B28" t="s">
        <v>30</v>
      </c>
      <c r="C28" s="8">
        <v>52500</v>
      </c>
      <c r="D28">
        <v>2014</v>
      </c>
    </row>
    <row r="29" spans="1:4" hidden="1" x14ac:dyDescent="0.25">
      <c r="A29">
        <v>28</v>
      </c>
      <c r="B29" t="s">
        <v>31</v>
      </c>
      <c r="C29" s="8">
        <v>51934</v>
      </c>
      <c r="D29">
        <v>2019</v>
      </c>
    </row>
    <row r="30" spans="1:4" hidden="1" x14ac:dyDescent="0.25">
      <c r="A30">
        <v>29</v>
      </c>
      <c r="B30" t="s">
        <v>32</v>
      </c>
      <c r="C30" s="8">
        <v>50500</v>
      </c>
      <c r="D30">
        <v>2017</v>
      </c>
    </row>
    <row r="31" spans="1:4" hidden="1" x14ac:dyDescent="0.25">
      <c r="A31">
        <v>30</v>
      </c>
      <c r="B31" t="s">
        <v>33</v>
      </c>
      <c r="C31" s="8">
        <v>49900</v>
      </c>
      <c r="D31">
        <v>2015</v>
      </c>
    </row>
    <row r="32" spans="1:4" hidden="1" x14ac:dyDescent="0.25">
      <c r="A32">
        <v>31</v>
      </c>
      <c r="B32" t="s">
        <v>34</v>
      </c>
      <c r="C32" s="8">
        <v>49854</v>
      </c>
      <c r="D32">
        <v>2019</v>
      </c>
    </row>
    <row r="33" spans="1:4" hidden="1" x14ac:dyDescent="0.25">
      <c r="A33">
        <v>32</v>
      </c>
      <c r="B33" t="s">
        <v>35</v>
      </c>
      <c r="C33" s="8">
        <v>49854</v>
      </c>
      <c r="D33">
        <v>2019</v>
      </c>
    </row>
    <row r="34" spans="1:4" hidden="1" x14ac:dyDescent="0.25">
      <c r="A34">
        <v>33</v>
      </c>
      <c r="B34" t="s">
        <v>36</v>
      </c>
      <c r="C34" s="8">
        <v>49031</v>
      </c>
      <c r="D34">
        <v>2019</v>
      </c>
    </row>
    <row r="35" spans="1:4" hidden="1" x14ac:dyDescent="0.25">
      <c r="A35">
        <v>34</v>
      </c>
      <c r="B35" t="s">
        <v>37</v>
      </c>
      <c r="C35" s="8">
        <v>48668</v>
      </c>
      <c r="D35">
        <v>2019</v>
      </c>
    </row>
    <row r="36" spans="1:4" hidden="1" x14ac:dyDescent="0.25">
      <c r="A36">
        <v>35</v>
      </c>
      <c r="B36" t="s">
        <v>38</v>
      </c>
      <c r="C36" s="8">
        <v>46962</v>
      </c>
      <c r="D36">
        <v>2019</v>
      </c>
    </row>
    <row r="37" spans="1:4" hidden="1" x14ac:dyDescent="0.25">
      <c r="A37">
        <v>36</v>
      </c>
      <c r="B37" t="s">
        <v>39</v>
      </c>
      <c r="C37" s="8">
        <v>46659</v>
      </c>
      <c r="D37">
        <v>2019</v>
      </c>
    </row>
    <row r="38" spans="1:4" hidden="1" x14ac:dyDescent="0.25">
      <c r="A38">
        <v>37</v>
      </c>
      <c r="B38" t="s">
        <v>40</v>
      </c>
      <c r="C38" s="8">
        <v>46200</v>
      </c>
      <c r="D38">
        <v>2006</v>
      </c>
    </row>
    <row r="39" spans="1:4" hidden="1" x14ac:dyDescent="0.25">
      <c r="A39">
        <v>38</v>
      </c>
      <c r="B39" t="s">
        <v>41</v>
      </c>
      <c r="C39" s="8">
        <v>46184</v>
      </c>
      <c r="D39">
        <v>2019</v>
      </c>
    </row>
    <row r="40" spans="1:4" hidden="1" x14ac:dyDescent="0.25">
      <c r="A40">
        <v>39</v>
      </c>
      <c r="B40" t="s">
        <v>42</v>
      </c>
      <c r="C40" s="8">
        <v>45011</v>
      </c>
      <c r="D40">
        <v>2019</v>
      </c>
    </row>
    <row r="41" spans="1:4" hidden="1" x14ac:dyDescent="0.25">
      <c r="A41">
        <v>40</v>
      </c>
      <c r="B41" t="s">
        <v>43</v>
      </c>
      <c r="C41" s="8">
        <v>44436</v>
      </c>
      <c r="D41">
        <v>2019</v>
      </c>
    </row>
    <row r="42" spans="1:4" hidden="1" x14ac:dyDescent="0.25">
      <c r="A42">
        <v>41</v>
      </c>
      <c r="B42" t="s">
        <v>44</v>
      </c>
      <c r="C42" s="8">
        <v>44032</v>
      </c>
      <c r="D42">
        <v>2019</v>
      </c>
    </row>
    <row r="43" spans="1:4" hidden="1" x14ac:dyDescent="0.25">
      <c r="A43">
        <v>42</v>
      </c>
      <c r="B43" t="s">
        <v>45</v>
      </c>
      <c r="C43" s="8">
        <v>42888</v>
      </c>
      <c r="D43">
        <v>2019</v>
      </c>
    </row>
    <row r="44" spans="1:4" hidden="1" x14ac:dyDescent="0.25">
      <c r="A44">
        <v>43</v>
      </c>
      <c r="B44" t="s">
        <v>46</v>
      </c>
      <c r="C44" s="8">
        <v>42765</v>
      </c>
      <c r="D44">
        <v>2019</v>
      </c>
    </row>
    <row r="45" spans="1:4" hidden="1" x14ac:dyDescent="0.25">
      <c r="A45">
        <v>44</v>
      </c>
      <c r="B45" t="s">
        <v>47</v>
      </c>
      <c r="C45" s="8">
        <v>42492</v>
      </c>
      <c r="D45">
        <v>2019</v>
      </c>
    </row>
    <row r="46" spans="1:4" hidden="1" x14ac:dyDescent="0.25">
      <c r="A46">
        <v>45</v>
      </c>
      <c r="B46" t="s">
        <v>48</v>
      </c>
      <c r="C46" s="8">
        <v>41800</v>
      </c>
      <c r="D46">
        <v>2015</v>
      </c>
    </row>
    <row r="47" spans="1:4" hidden="1" x14ac:dyDescent="0.25">
      <c r="A47">
        <v>46</v>
      </c>
      <c r="B47" t="s">
        <v>49</v>
      </c>
      <c r="C47" s="8">
        <v>41429</v>
      </c>
      <c r="D47">
        <v>2019</v>
      </c>
    </row>
    <row r="48" spans="1:4" hidden="1" x14ac:dyDescent="0.25">
      <c r="A48">
        <v>47</v>
      </c>
      <c r="B48" t="s">
        <v>50</v>
      </c>
      <c r="C48" s="8">
        <v>40903</v>
      </c>
      <c r="D48">
        <v>2019</v>
      </c>
    </row>
    <row r="49" spans="1:4" hidden="1" x14ac:dyDescent="0.25">
      <c r="A49">
        <v>48</v>
      </c>
      <c r="B49" t="s">
        <v>51</v>
      </c>
      <c r="C49" s="8">
        <v>40862</v>
      </c>
      <c r="D49">
        <v>2019</v>
      </c>
    </row>
    <row r="50" spans="1:4" hidden="1" x14ac:dyDescent="0.25">
      <c r="A50">
        <v>49</v>
      </c>
      <c r="B50" t="s">
        <v>52</v>
      </c>
      <c r="C50" s="8">
        <v>40145</v>
      </c>
      <c r="D50">
        <v>2019</v>
      </c>
    </row>
    <row r="51" spans="1:4" hidden="1" x14ac:dyDescent="0.25">
      <c r="A51">
        <v>50</v>
      </c>
      <c r="B51" t="s">
        <v>53</v>
      </c>
      <c r="C51" s="8">
        <v>40000</v>
      </c>
      <c r="D51">
        <v>2014</v>
      </c>
    </row>
    <row r="52" spans="1:4" hidden="1" x14ac:dyDescent="0.25">
      <c r="A52">
        <v>51</v>
      </c>
      <c r="B52" t="s">
        <v>54</v>
      </c>
      <c r="C52" s="8">
        <v>39545</v>
      </c>
      <c r="D52">
        <v>2019</v>
      </c>
    </row>
    <row r="53" spans="1:4" hidden="1" x14ac:dyDescent="0.25">
      <c r="A53">
        <v>52</v>
      </c>
      <c r="B53" t="s">
        <v>55</v>
      </c>
      <c r="C53" s="8">
        <v>39088</v>
      </c>
      <c r="D53">
        <v>2019</v>
      </c>
    </row>
    <row r="54" spans="1:4" hidden="1" x14ac:dyDescent="0.25">
      <c r="A54">
        <v>53</v>
      </c>
      <c r="B54" t="s">
        <v>56</v>
      </c>
      <c r="C54" s="8">
        <v>37500</v>
      </c>
      <c r="D54">
        <v>2017</v>
      </c>
    </row>
    <row r="55" spans="1:4" hidden="1" x14ac:dyDescent="0.25">
      <c r="A55">
        <v>54</v>
      </c>
      <c r="B55" t="s">
        <v>57</v>
      </c>
      <c r="C55" s="8">
        <v>37231</v>
      </c>
      <c r="D55">
        <v>2019</v>
      </c>
    </row>
    <row r="56" spans="1:4" hidden="1" x14ac:dyDescent="0.25">
      <c r="A56">
        <v>55</v>
      </c>
      <c r="B56" t="s">
        <v>58</v>
      </c>
      <c r="C56" s="8">
        <v>37101</v>
      </c>
      <c r="D56">
        <v>2019</v>
      </c>
    </row>
    <row r="57" spans="1:4" hidden="1" x14ac:dyDescent="0.25">
      <c r="A57">
        <v>56</v>
      </c>
      <c r="B57" t="s">
        <v>59</v>
      </c>
      <c r="C57" s="8">
        <v>37000</v>
      </c>
      <c r="D57">
        <v>2016</v>
      </c>
    </row>
    <row r="58" spans="1:4" hidden="1" x14ac:dyDescent="0.25">
      <c r="A58">
        <v>57</v>
      </c>
      <c r="B58" t="s">
        <v>60</v>
      </c>
      <c r="C58" s="8">
        <v>36927</v>
      </c>
      <c r="D58">
        <v>2019</v>
      </c>
    </row>
    <row r="59" spans="1:4" hidden="1" x14ac:dyDescent="0.25">
      <c r="A59">
        <v>58</v>
      </c>
      <c r="B59" t="s">
        <v>61</v>
      </c>
      <c r="C59" s="8">
        <v>35600</v>
      </c>
      <c r="D59">
        <v>2016</v>
      </c>
    </row>
    <row r="60" spans="1:4" hidden="1" x14ac:dyDescent="0.25">
      <c r="A60">
        <v>59</v>
      </c>
      <c r="B60" t="s">
        <v>62</v>
      </c>
      <c r="C60" s="8">
        <v>35342</v>
      </c>
      <c r="D60">
        <v>2018</v>
      </c>
    </row>
    <row r="61" spans="1:4" hidden="1" x14ac:dyDescent="0.25">
      <c r="A61">
        <v>60</v>
      </c>
      <c r="B61" t="s">
        <v>63</v>
      </c>
      <c r="C61" s="8">
        <v>34894</v>
      </c>
      <c r="D61">
        <v>2019</v>
      </c>
    </row>
    <row r="62" spans="1:4" hidden="1" x14ac:dyDescent="0.25">
      <c r="A62">
        <v>61</v>
      </c>
      <c r="B62" t="s">
        <v>64</v>
      </c>
      <c r="C62" s="8">
        <v>34518</v>
      </c>
      <c r="D62">
        <v>2019</v>
      </c>
    </row>
    <row r="63" spans="1:4" hidden="1" x14ac:dyDescent="0.25">
      <c r="A63">
        <v>62</v>
      </c>
      <c r="B63" t="s">
        <v>65</v>
      </c>
      <c r="C63" s="8">
        <v>34200</v>
      </c>
      <c r="D63">
        <v>2017</v>
      </c>
    </row>
    <row r="64" spans="1:4" hidden="1" x14ac:dyDescent="0.25">
      <c r="A64">
        <v>63</v>
      </c>
      <c r="B64" t="s">
        <v>66</v>
      </c>
      <c r="C64" s="8">
        <v>33221</v>
      </c>
      <c r="D64">
        <v>2019</v>
      </c>
    </row>
    <row r="65" spans="1:4" hidden="1" x14ac:dyDescent="0.25">
      <c r="A65">
        <v>64</v>
      </c>
      <c r="B65" t="s">
        <v>67</v>
      </c>
      <c r="C65" s="8">
        <v>32945</v>
      </c>
      <c r="D65">
        <v>2019</v>
      </c>
    </row>
    <row r="66" spans="1:4" hidden="1" x14ac:dyDescent="0.25">
      <c r="A66">
        <v>65</v>
      </c>
      <c r="B66" t="s">
        <v>68</v>
      </c>
      <c r="C66" s="8">
        <v>32730</v>
      </c>
      <c r="D66">
        <v>2019</v>
      </c>
    </row>
    <row r="67" spans="1:4" hidden="1" x14ac:dyDescent="0.25">
      <c r="A67">
        <v>66</v>
      </c>
      <c r="B67" t="s">
        <v>69</v>
      </c>
      <c r="C67" s="8">
        <v>31459</v>
      </c>
      <c r="D67">
        <v>2019</v>
      </c>
    </row>
    <row r="68" spans="1:4" hidden="1" x14ac:dyDescent="0.25">
      <c r="A68">
        <v>67</v>
      </c>
      <c r="B68" t="s">
        <v>70</v>
      </c>
      <c r="C68" s="8">
        <v>31100</v>
      </c>
      <c r="D68">
        <v>2015</v>
      </c>
    </row>
    <row r="69" spans="1:4" hidden="1" x14ac:dyDescent="0.25">
      <c r="A69">
        <v>68</v>
      </c>
      <c r="B69" t="s">
        <v>71</v>
      </c>
      <c r="C69" s="8">
        <v>30898</v>
      </c>
      <c r="D69">
        <v>2019</v>
      </c>
    </row>
    <row r="70" spans="1:4" hidden="1" x14ac:dyDescent="0.25">
      <c r="A70">
        <v>69</v>
      </c>
      <c r="B70" t="s">
        <v>72</v>
      </c>
      <c r="C70" s="8">
        <v>29941</v>
      </c>
      <c r="D70">
        <v>2019</v>
      </c>
    </row>
    <row r="71" spans="1:4" hidden="1" x14ac:dyDescent="0.25">
      <c r="A71">
        <v>70</v>
      </c>
      <c r="B71" t="s">
        <v>73</v>
      </c>
      <c r="C71" s="8">
        <v>29799</v>
      </c>
      <c r="D71">
        <v>2019</v>
      </c>
    </row>
    <row r="72" spans="1:4" hidden="1" x14ac:dyDescent="0.25">
      <c r="A72">
        <v>71</v>
      </c>
      <c r="B72" t="s">
        <v>74</v>
      </c>
      <c r="C72" s="8">
        <v>29253</v>
      </c>
      <c r="D72">
        <v>2019</v>
      </c>
    </row>
    <row r="73" spans="1:4" hidden="1" x14ac:dyDescent="0.25">
      <c r="A73">
        <v>72</v>
      </c>
      <c r="B73" t="s">
        <v>75</v>
      </c>
      <c r="C73" s="8">
        <v>29223</v>
      </c>
      <c r="D73">
        <v>2019</v>
      </c>
    </row>
    <row r="74" spans="1:4" hidden="1" x14ac:dyDescent="0.25">
      <c r="A74">
        <v>73</v>
      </c>
      <c r="B74" t="s">
        <v>76</v>
      </c>
      <c r="C74" s="8">
        <v>28602</v>
      </c>
      <c r="D74">
        <v>2019</v>
      </c>
    </row>
    <row r="75" spans="1:4" hidden="1" x14ac:dyDescent="0.25">
      <c r="A75">
        <v>74</v>
      </c>
      <c r="B75" t="s">
        <v>77</v>
      </c>
      <c r="C75" s="8">
        <v>28424</v>
      </c>
      <c r="D75">
        <v>2019</v>
      </c>
    </row>
    <row r="76" spans="1:4" hidden="1" x14ac:dyDescent="0.25">
      <c r="A76">
        <v>75</v>
      </c>
      <c r="B76" t="s">
        <v>78</v>
      </c>
      <c r="C76" s="8">
        <v>28364</v>
      </c>
      <c r="D76">
        <v>2019</v>
      </c>
    </row>
    <row r="77" spans="1:4" hidden="1" x14ac:dyDescent="0.25">
      <c r="A77">
        <v>76</v>
      </c>
      <c r="B77" t="s">
        <v>79</v>
      </c>
      <c r="C77" s="8">
        <v>27299</v>
      </c>
      <c r="D77">
        <v>2019</v>
      </c>
    </row>
    <row r="78" spans="1:4" hidden="1" x14ac:dyDescent="0.25">
      <c r="A78">
        <v>77</v>
      </c>
      <c r="B78" t="s">
        <v>80</v>
      </c>
      <c r="C78" s="8">
        <v>27044</v>
      </c>
      <c r="D78">
        <v>2019</v>
      </c>
    </row>
    <row r="79" spans="1:4" hidden="1" x14ac:dyDescent="0.25">
      <c r="A79">
        <v>78</v>
      </c>
      <c r="B79" t="s">
        <v>81</v>
      </c>
      <c r="C79" s="8">
        <v>26438</v>
      </c>
      <c r="D79">
        <v>2019</v>
      </c>
    </row>
    <row r="80" spans="1:4" hidden="1" x14ac:dyDescent="0.25">
      <c r="A80">
        <v>79</v>
      </c>
      <c r="B80" t="s">
        <v>82</v>
      </c>
      <c r="C80" s="8">
        <v>26351</v>
      </c>
      <c r="D80">
        <v>2019</v>
      </c>
    </row>
    <row r="81" spans="1:4" hidden="1" x14ac:dyDescent="0.25">
      <c r="A81">
        <v>80</v>
      </c>
      <c r="B81" t="s">
        <v>83</v>
      </c>
      <c r="C81" s="8">
        <v>26176</v>
      </c>
      <c r="D81">
        <v>2019</v>
      </c>
    </row>
    <row r="82" spans="1:4" hidden="1" x14ac:dyDescent="0.25">
      <c r="A82">
        <v>81</v>
      </c>
      <c r="B82" t="s">
        <v>84</v>
      </c>
      <c r="C82" s="8">
        <v>24500</v>
      </c>
      <c r="D82">
        <v>2016</v>
      </c>
    </row>
    <row r="83" spans="1:4" hidden="1" x14ac:dyDescent="0.25">
      <c r="A83">
        <v>82</v>
      </c>
      <c r="B83" t="s">
        <v>85</v>
      </c>
      <c r="C83" s="8">
        <v>24479</v>
      </c>
      <c r="D83">
        <v>2019</v>
      </c>
    </row>
    <row r="84" spans="1:4" hidden="1" x14ac:dyDescent="0.25">
      <c r="A84">
        <v>83</v>
      </c>
      <c r="B84" t="s">
        <v>86</v>
      </c>
      <c r="C84" s="8">
        <v>24226</v>
      </c>
      <c r="D84">
        <v>2019</v>
      </c>
    </row>
    <row r="85" spans="1:4" hidden="1" x14ac:dyDescent="0.25">
      <c r="A85">
        <v>84</v>
      </c>
      <c r="B85" t="s">
        <v>87</v>
      </c>
      <c r="C85" s="8">
        <v>23174</v>
      </c>
      <c r="D85">
        <v>2019</v>
      </c>
    </row>
    <row r="86" spans="1:4" hidden="1" x14ac:dyDescent="0.25">
      <c r="A86">
        <v>85</v>
      </c>
      <c r="B86" t="s">
        <v>88</v>
      </c>
      <c r="C86" s="8">
        <v>22870</v>
      </c>
      <c r="D86">
        <v>2019</v>
      </c>
    </row>
    <row r="87" spans="1:4" hidden="1" x14ac:dyDescent="0.25">
      <c r="A87">
        <v>86</v>
      </c>
      <c r="B87" t="s">
        <v>89</v>
      </c>
      <c r="C87" s="8">
        <v>22064</v>
      </c>
      <c r="D87">
        <v>2019</v>
      </c>
    </row>
    <row r="88" spans="1:4" hidden="1" x14ac:dyDescent="0.25">
      <c r="A88">
        <v>87</v>
      </c>
      <c r="B88" t="s">
        <v>90</v>
      </c>
      <c r="C88" s="8">
        <v>21910</v>
      </c>
      <c r="D88">
        <v>2019</v>
      </c>
    </row>
    <row r="89" spans="1:4" hidden="1" x14ac:dyDescent="0.25">
      <c r="A89">
        <v>88</v>
      </c>
      <c r="B89" t="s">
        <v>91</v>
      </c>
      <c r="C89" s="8">
        <v>21561</v>
      </c>
      <c r="D89">
        <v>2019</v>
      </c>
    </row>
    <row r="90" spans="1:4" hidden="1" x14ac:dyDescent="0.25">
      <c r="A90">
        <v>89</v>
      </c>
      <c r="B90" t="s">
        <v>92</v>
      </c>
      <c r="C90" s="8">
        <v>21470</v>
      </c>
      <c r="D90">
        <v>2019</v>
      </c>
    </row>
    <row r="91" spans="1:4" hidden="1" x14ac:dyDescent="0.25">
      <c r="A91">
        <v>90</v>
      </c>
      <c r="B91" t="s">
        <v>93</v>
      </c>
      <c r="C91" s="8">
        <v>19796</v>
      </c>
      <c r="D91">
        <v>2019</v>
      </c>
    </row>
    <row r="92" spans="1:4" hidden="1" x14ac:dyDescent="0.25">
      <c r="A92">
        <v>91</v>
      </c>
      <c r="B92" t="s">
        <v>94</v>
      </c>
      <c r="C92" s="8">
        <v>19642</v>
      </c>
      <c r="D92">
        <v>2019</v>
      </c>
    </row>
    <row r="93" spans="1:4" hidden="1" x14ac:dyDescent="0.25">
      <c r="A93">
        <v>92</v>
      </c>
      <c r="B93" t="s">
        <v>95</v>
      </c>
      <c r="C93" s="8">
        <v>19531</v>
      </c>
      <c r="D93">
        <v>2019</v>
      </c>
    </row>
    <row r="94" spans="1:4" hidden="1" x14ac:dyDescent="0.25">
      <c r="A94">
        <v>93</v>
      </c>
      <c r="B94" t="s">
        <v>96</v>
      </c>
      <c r="C94" s="8">
        <v>19300</v>
      </c>
      <c r="D94">
        <v>2005</v>
      </c>
    </row>
    <row r="95" spans="1:4" hidden="1" x14ac:dyDescent="0.25">
      <c r="A95">
        <v>94</v>
      </c>
      <c r="B95" t="s">
        <v>97</v>
      </c>
      <c r="C95" s="8">
        <v>19150</v>
      </c>
      <c r="D95">
        <v>2019</v>
      </c>
    </row>
    <row r="96" spans="1:4" hidden="1" x14ac:dyDescent="0.25">
      <c r="A96">
        <v>95</v>
      </c>
      <c r="B96" t="s">
        <v>98</v>
      </c>
      <c r="C96" s="8">
        <v>18558</v>
      </c>
      <c r="D96">
        <v>2019</v>
      </c>
    </row>
    <row r="97" spans="1:4" hidden="1" x14ac:dyDescent="0.25">
      <c r="A97">
        <v>96</v>
      </c>
      <c r="B97" t="s">
        <v>99</v>
      </c>
      <c r="C97" s="8">
        <v>18460</v>
      </c>
      <c r="D97">
        <v>2019</v>
      </c>
    </row>
    <row r="98" spans="1:4" hidden="1" x14ac:dyDescent="0.25">
      <c r="A98">
        <v>97</v>
      </c>
      <c r="B98" t="s">
        <v>100</v>
      </c>
      <c r="C98" s="8">
        <v>18413</v>
      </c>
      <c r="D98">
        <v>2019</v>
      </c>
    </row>
    <row r="99" spans="1:4" hidden="1" x14ac:dyDescent="0.2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5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25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25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25">
      <c r="A227">
        <v>226</v>
      </c>
      <c r="B227" t="s">
        <v>229</v>
      </c>
      <c r="C227" s="8">
        <v>945</v>
      </c>
      <c r="D227">
        <v>2019</v>
      </c>
    </row>
    <row r="228" spans="1:4" x14ac:dyDescent="0.25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25">
      <c r="A229">
        <v>228</v>
      </c>
      <c r="B229" t="s">
        <v>231</v>
      </c>
      <c r="C229" s="8">
        <v>752</v>
      </c>
      <c r="D229">
        <v>2019</v>
      </c>
    </row>
  </sheetData>
  <sortState ref="A2:D229">
    <sortCondition descending="1" ref="C2:C229"/>
  </sortState>
  <conditionalFormatting sqref="B1:B1048576">
    <cfRule type="duplicateValues" dxfId="8" priority="2"/>
  </conditionalFormatting>
  <pageMargins left="0.7" right="0.7" top="0.75" bottom="0.75" header="0.3" footer="0.3"/>
  <pageSetup paperSize="9" scale="53" orientation="portrait" r:id="rId1"/>
  <headerFooter>
    <oddHeader>&amp;LTAIWO&amp;COLUWAFEMI&amp;RGLA DATA 1</oddHeader>
    <oddFooter>&amp;L19-04-2024&amp;CASSIGNMENT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20"/>
  <sheetViews>
    <sheetView topLeftCell="A2" zoomScaleNormal="100" workbookViewId="0">
      <selection activeCell="B2" sqref="B2:E189"/>
    </sheetView>
  </sheetViews>
  <sheetFormatPr defaultRowHeight="15" x14ac:dyDescent="0.25"/>
  <cols>
    <col min="2" max="2" width="7.42578125" customWidth="1"/>
    <col min="3" max="3" width="29.7109375" bestFit="1" customWidth="1"/>
    <col min="4" max="4" width="22.5703125" customWidth="1"/>
    <col min="5" max="5" width="30.42578125" customWidth="1"/>
  </cols>
  <sheetData>
    <row r="1" spans="2:5" x14ac:dyDescent="0.25">
      <c r="B1" s="15" t="s">
        <v>0</v>
      </c>
      <c r="C1" s="15" t="s">
        <v>1</v>
      </c>
      <c r="D1" s="16" t="s">
        <v>2</v>
      </c>
      <c r="E1" s="15" t="s">
        <v>3</v>
      </c>
    </row>
    <row r="2" spans="2:5" x14ac:dyDescent="0.25">
      <c r="B2" s="13">
        <v>1</v>
      </c>
      <c r="C2" s="9" t="s">
        <v>4</v>
      </c>
      <c r="D2" s="10">
        <v>190513</v>
      </c>
      <c r="E2" s="14">
        <v>2019</v>
      </c>
    </row>
    <row r="3" spans="2:5" x14ac:dyDescent="0.25">
      <c r="B3" s="11">
        <v>3</v>
      </c>
      <c r="C3" s="11" t="s">
        <v>6</v>
      </c>
      <c r="D3" s="12">
        <v>123965</v>
      </c>
      <c r="E3" s="11">
        <v>2019</v>
      </c>
    </row>
    <row r="4" spans="2:5" x14ac:dyDescent="0.25">
      <c r="B4" s="13">
        <v>5</v>
      </c>
      <c r="C4" s="13" t="s">
        <v>8</v>
      </c>
      <c r="D4" s="10">
        <v>97341</v>
      </c>
      <c r="E4" s="13">
        <v>2019</v>
      </c>
    </row>
    <row r="5" spans="2:5" x14ac:dyDescent="0.25">
      <c r="B5" s="11">
        <v>6</v>
      </c>
      <c r="C5" s="11" t="s">
        <v>9</v>
      </c>
      <c r="D5" s="12">
        <v>90044</v>
      </c>
      <c r="E5" s="11">
        <v>2019</v>
      </c>
    </row>
    <row r="6" spans="2:5" x14ac:dyDescent="0.25">
      <c r="B6" s="13">
        <v>7</v>
      </c>
      <c r="C6" s="13" t="s">
        <v>10</v>
      </c>
      <c r="D6" s="10">
        <v>86781</v>
      </c>
      <c r="E6" s="13">
        <v>2019</v>
      </c>
    </row>
    <row r="7" spans="2:5" x14ac:dyDescent="0.25">
      <c r="B7" s="11">
        <v>9</v>
      </c>
      <c r="C7" s="11" t="s">
        <v>12</v>
      </c>
      <c r="D7" s="12">
        <v>81798</v>
      </c>
      <c r="E7" s="11">
        <v>2019</v>
      </c>
    </row>
    <row r="8" spans="2:5" x14ac:dyDescent="0.25">
      <c r="B8" s="13">
        <v>12</v>
      </c>
      <c r="C8" s="13" t="s">
        <v>15</v>
      </c>
      <c r="D8" s="10">
        <v>68628</v>
      </c>
      <c r="E8" s="13">
        <v>2019</v>
      </c>
    </row>
    <row r="9" spans="2:5" x14ac:dyDescent="0.25">
      <c r="B9" s="11">
        <v>13</v>
      </c>
      <c r="C9" s="11" t="s">
        <v>16</v>
      </c>
      <c r="D9" s="12">
        <v>67119</v>
      </c>
      <c r="E9" s="11">
        <v>2019</v>
      </c>
    </row>
    <row r="10" spans="2:5" x14ac:dyDescent="0.25">
      <c r="B10" s="13">
        <v>14</v>
      </c>
      <c r="C10" s="13" t="s">
        <v>17</v>
      </c>
      <c r="D10" s="10">
        <v>63633</v>
      </c>
      <c r="E10" s="13">
        <v>2019</v>
      </c>
    </row>
    <row r="11" spans="2:5" x14ac:dyDescent="0.25">
      <c r="B11" s="11">
        <v>15</v>
      </c>
      <c r="C11" s="11" t="s">
        <v>18</v>
      </c>
      <c r="D11" s="12">
        <v>62530</v>
      </c>
      <c r="E11" s="11">
        <v>2019</v>
      </c>
    </row>
    <row r="12" spans="2:5" x14ac:dyDescent="0.25">
      <c r="B12" s="13">
        <v>16</v>
      </c>
      <c r="C12" s="13" t="s">
        <v>19</v>
      </c>
      <c r="D12" s="10">
        <v>62100</v>
      </c>
      <c r="E12" s="13">
        <v>2019</v>
      </c>
    </row>
    <row r="13" spans="2:5" x14ac:dyDescent="0.25">
      <c r="B13" s="11">
        <v>18</v>
      </c>
      <c r="C13" s="11" t="s">
        <v>21</v>
      </c>
      <c r="D13" s="12">
        <v>59848</v>
      </c>
      <c r="E13" s="11">
        <v>2019</v>
      </c>
    </row>
    <row r="14" spans="2:5" x14ac:dyDescent="0.25">
      <c r="B14" s="13">
        <v>20</v>
      </c>
      <c r="C14" s="13" t="s">
        <v>23</v>
      </c>
      <c r="D14" s="10">
        <v>57804</v>
      </c>
      <c r="E14" s="13">
        <v>2019</v>
      </c>
    </row>
    <row r="15" spans="2:5" x14ac:dyDescent="0.25">
      <c r="B15" s="11">
        <v>21</v>
      </c>
      <c r="C15" s="11" t="s">
        <v>24</v>
      </c>
      <c r="D15" s="12">
        <v>56935</v>
      </c>
      <c r="E15" s="11">
        <v>2019</v>
      </c>
    </row>
    <row r="16" spans="2:5" x14ac:dyDescent="0.25">
      <c r="B16" s="13">
        <v>23</v>
      </c>
      <c r="C16" s="13" t="s">
        <v>26</v>
      </c>
      <c r="D16" s="10">
        <v>56188</v>
      </c>
      <c r="E16" s="13">
        <v>2019</v>
      </c>
    </row>
    <row r="17" spans="2:5" x14ac:dyDescent="0.25">
      <c r="B17" s="11">
        <v>24</v>
      </c>
      <c r="C17" s="11" t="s">
        <v>27</v>
      </c>
      <c r="D17" s="12">
        <v>55874</v>
      </c>
      <c r="E17" s="11">
        <v>2019</v>
      </c>
    </row>
    <row r="18" spans="2:5" x14ac:dyDescent="0.25">
      <c r="B18" s="13">
        <v>25</v>
      </c>
      <c r="C18" s="13" t="s">
        <v>28</v>
      </c>
      <c r="D18" s="10">
        <v>53919</v>
      </c>
      <c r="E18" s="13">
        <v>2019</v>
      </c>
    </row>
    <row r="19" spans="2:5" x14ac:dyDescent="0.25">
      <c r="B19" s="11">
        <v>26</v>
      </c>
      <c r="C19" s="11" t="s">
        <v>29</v>
      </c>
      <c r="D19" s="12">
        <v>53240</v>
      </c>
      <c r="E19" s="11">
        <v>2019</v>
      </c>
    </row>
    <row r="20" spans="2:5" x14ac:dyDescent="0.25">
      <c r="B20" s="13">
        <v>28</v>
      </c>
      <c r="C20" s="13" t="s">
        <v>31</v>
      </c>
      <c r="D20" s="10">
        <v>51934</v>
      </c>
      <c r="E20" s="13">
        <v>2019</v>
      </c>
    </row>
    <row r="21" spans="2:5" x14ac:dyDescent="0.25">
      <c r="B21" s="11">
        <v>31</v>
      </c>
      <c r="C21" s="11" t="s">
        <v>34</v>
      </c>
      <c r="D21" s="12">
        <v>49854</v>
      </c>
      <c r="E21" s="11">
        <v>2019</v>
      </c>
    </row>
    <row r="22" spans="2:5" x14ac:dyDescent="0.25">
      <c r="B22" s="13">
        <v>32</v>
      </c>
      <c r="C22" s="13" t="s">
        <v>35</v>
      </c>
      <c r="D22" s="10">
        <v>49854</v>
      </c>
      <c r="E22" s="13">
        <v>2019</v>
      </c>
    </row>
    <row r="23" spans="2:5" hidden="1" x14ac:dyDescent="0.25">
      <c r="B23" s="11">
        <v>33</v>
      </c>
      <c r="C23" s="11" t="s">
        <v>36</v>
      </c>
      <c r="D23" s="12">
        <v>49031</v>
      </c>
      <c r="E23" s="11">
        <v>2019</v>
      </c>
    </row>
    <row r="24" spans="2:5" hidden="1" x14ac:dyDescent="0.25">
      <c r="B24" s="13">
        <v>34</v>
      </c>
      <c r="C24" s="13" t="s">
        <v>37</v>
      </c>
      <c r="D24" s="10">
        <v>48668</v>
      </c>
      <c r="E24" s="13">
        <v>2019</v>
      </c>
    </row>
    <row r="25" spans="2:5" hidden="1" x14ac:dyDescent="0.25">
      <c r="B25" s="11">
        <v>35</v>
      </c>
      <c r="C25" s="11" t="s">
        <v>38</v>
      </c>
      <c r="D25" s="12">
        <v>46962</v>
      </c>
      <c r="E25" s="11">
        <v>2019</v>
      </c>
    </row>
    <row r="26" spans="2:5" hidden="1" x14ac:dyDescent="0.25">
      <c r="B26" s="13">
        <v>36</v>
      </c>
      <c r="C26" s="13" t="s">
        <v>39</v>
      </c>
      <c r="D26" s="10">
        <v>46659</v>
      </c>
      <c r="E26" s="13">
        <v>2019</v>
      </c>
    </row>
    <row r="27" spans="2:5" hidden="1" x14ac:dyDescent="0.25">
      <c r="B27" s="11">
        <v>38</v>
      </c>
      <c r="C27" s="11" t="s">
        <v>41</v>
      </c>
      <c r="D27" s="12">
        <v>46184</v>
      </c>
      <c r="E27" s="11">
        <v>2019</v>
      </c>
    </row>
    <row r="28" spans="2:5" hidden="1" x14ac:dyDescent="0.25">
      <c r="B28" s="13">
        <v>39</v>
      </c>
      <c r="C28" s="13" t="s">
        <v>42</v>
      </c>
      <c r="D28" s="10">
        <v>45011</v>
      </c>
      <c r="E28" s="13">
        <v>2019</v>
      </c>
    </row>
    <row r="29" spans="2:5" hidden="1" x14ac:dyDescent="0.25">
      <c r="B29" s="11">
        <v>40</v>
      </c>
      <c r="C29" s="11" t="s">
        <v>43</v>
      </c>
      <c r="D29" s="12">
        <v>44436</v>
      </c>
      <c r="E29" s="11">
        <v>2019</v>
      </c>
    </row>
    <row r="30" spans="2:5" hidden="1" x14ac:dyDescent="0.25">
      <c r="B30" s="13">
        <v>41</v>
      </c>
      <c r="C30" s="13" t="s">
        <v>44</v>
      </c>
      <c r="D30" s="10">
        <v>44032</v>
      </c>
      <c r="E30" s="13">
        <v>2019</v>
      </c>
    </row>
    <row r="31" spans="2:5" hidden="1" x14ac:dyDescent="0.25">
      <c r="B31" s="11">
        <v>42</v>
      </c>
      <c r="C31" s="11" t="s">
        <v>45</v>
      </c>
      <c r="D31" s="12">
        <v>42888</v>
      </c>
      <c r="E31" s="11">
        <v>2019</v>
      </c>
    </row>
    <row r="32" spans="2:5" hidden="1" x14ac:dyDescent="0.25">
      <c r="B32" s="13">
        <v>43</v>
      </c>
      <c r="C32" s="13" t="s">
        <v>46</v>
      </c>
      <c r="D32" s="10">
        <v>42765</v>
      </c>
      <c r="E32" s="13">
        <v>2019</v>
      </c>
    </row>
    <row r="33" spans="2:5" hidden="1" x14ac:dyDescent="0.25">
      <c r="B33" s="11">
        <v>44</v>
      </c>
      <c r="C33" s="11" t="s">
        <v>47</v>
      </c>
      <c r="D33" s="12">
        <v>42492</v>
      </c>
      <c r="E33" s="11">
        <v>2019</v>
      </c>
    </row>
    <row r="34" spans="2:5" hidden="1" x14ac:dyDescent="0.25">
      <c r="B34" s="13">
        <v>46</v>
      </c>
      <c r="C34" s="13" t="s">
        <v>49</v>
      </c>
      <c r="D34" s="10">
        <v>41429</v>
      </c>
      <c r="E34" s="13">
        <v>2019</v>
      </c>
    </row>
    <row r="35" spans="2:5" hidden="1" x14ac:dyDescent="0.25">
      <c r="B35" s="11">
        <v>47</v>
      </c>
      <c r="C35" s="11" t="s">
        <v>50</v>
      </c>
      <c r="D35" s="12">
        <v>40903</v>
      </c>
      <c r="E35" s="11">
        <v>2019</v>
      </c>
    </row>
    <row r="36" spans="2:5" hidden="1" x14ac:dyDescent="0.25">
      <c r="B36" s="13">
        <v>48</v>
      </c>
      <c r="C36" s="13" t="s">
        <v>51</v>
      </c>
      <c r="D36" s="10">
        <v>40862</v>
      </c>
      <c r="E36" s="13">
        <v>2019</v>
      </c>
    </row>
    <row r="37" spans="2:5" hidden="1" x14ac:dyDescent="0.25">
      <c r="B37" s="11">
        <v>49</v>
      </c>
      <c r="C37" s="11" t="s">
        <v>52</v>
      </c>
      <c r="D37" s="12">
        <v>40145</v>
      </c>
      <c r="E37" s="11">
        <v>2019</v>
      </c>
    </row>
    <row r="38" spans="2:5" hidden="1" x14ac:dyDescent="0.25">
      <c r="B38" s="13">
        <v>51</v>
      </c>
      <c r="C38" s="13" t="s">
        <v>54</v>
      </c>
      <c r="D38" s="10">
        <v>39545</v>
      </c>
      <c r="E38" s="13">
        <v>2019</v>
      </c>
    </row>
    <row r="39" spans="2:5" hidden="1" x14ac:dyDescent="0.25">
      <c r="B39" s="11">
        <v>52</v>
      </c>
      <c r="C39" s="11" t="s">
        <v>55</v>
      </c>
      <c r="D39" s="12">
        <v>39088</v>
      </c>
      <c r="E39" s="11">
        <v>2019</v>
      </c>
    </row>
    <row r="40" spans="2:5" hidden="1" x14ac:dyDescent="0.25">
      <c r="B40" s="13">
        <v>54</v>
      </c>
      <c r="C40" s="13" t="s">
        <v>57</v>
      </c>
      <c r="D40" s="10">
        <v>37231</v>
      </c>
      <c r="E40" s="13">
        <v>2019</v>
      </c>
    </row>
    <row r="41" spans="2:5" hidden="1" x14ac:dyDescent="0.25">
      <c r="B41" s="11">
        <v>55</v>
      </c>
      <c r="C41" s="11" t="s">
        <v>58</v>
      </c>
      <c r="D41" s="12">
        <v>37101</v>
      </c>
      <c r="E41" s="11">
        <v>2019</v>
      </c>
    </row>
    <row r="42" spans="2:5" hidden="1" x14ac:dyDescent="0.25">
      <c r="B42" s="13">
        <v>57</v>
      </c>
      <c r="C42" s="13" t="s">
        <v>60</v>
      </c>
      <c r="D42" s="10">
        <v>36927</v>
      </c>
      <c r="E42" s="13">
        <v>2019</v>
      </c>
    </row>
    <row r="43" spans="2:5" hidden="1" x14ac:dyDescent="0.25">
      <c r="B43" s="11">
        <v>60</v>
      </c>
      <c r="C43" s="11" t="s">
        <v>63</v>
      </c>
      <c r="D43" s="12">
        <v>34894</v>
      </c>
      <c r="E43" s="11">
        <v>2019</v>
      </c>
    </row>
    <row r="44" spans="2:5" hidden="1" x14ac:dyDescent="0.25">
      <c r="B44" s="13">
        <v>61</v>
      </c>
      <c r="C44" s="13" t="s">
        <v>64</v>
      </c>
      <c r="D44" s="10">
        <v>34518</v>
      </c>
      <c r="E44" s="13">
        <v>2019</v>
      </c>
    </row>
    <row r="45" spans="2:5" hidden="1" x14ac:dyDescent="0.25">
      <c r="B45" s="11">
        <v>63</v>
      </c>
      <c r="C45" s="11" t="s">
        <v>66</v>
      </c>
      <c r="D45" s="12">
        <v>33221</v>
      </c>
      <c r="E45" s="11">
        <v>2019</v>
      </c>
    </row>
    <row r="46" spans="2:5" hidden="1" x14ac:dyDescent="0.25">
      <c r="B46" s="13">
        <v>64</v>
      </c>
      <c r="C46" s="13" t="s">
        <v>67</v>
      </c>
      <c r="D46" s="10">
        <v>32945</v>
      </c>
      <c r="E46" s="13">
        <v>2019</v>
      </c>
    </row>
    <row r="47" spans="2:5" hidden="1" x14ac:dyDescent="0.25">
      <c r="B47" s="11">
        <v>65</v>
      </c>
      <c r="C47" s="11" t="s">
        <v>68</v>
      </c>
      <c r="D47" s="12">
        <v>32730</v>
      </c>
      <c r="E47" s="11">
        <v>2019</v>
      </c>
    </row>
    <row r="48" spans="2:5" hidden="1" x14ac:dyDescent="0.25">
      <c r="B48" s="13">
        <v>66</v>
      </c>
      <c r="C48" s="13" t="s">
        <v>69</v>
      </c>
      <c r="D48" s="10">
        <v>31459</v>
      </c>
      <c r="E48" s="13">
        <v>2019</v>
      </c>
    </row>
    <row r="49" spans="2:5" hidden="1" x14ac:dyDescent="0.25">
      <c r="B49" s="11">
        <v>68</v>
      </c>
      <c r="C49" s="11" t="s">
        <v>71</v>
      </c>
      <c r="D49" s="12">
        <v>30898</v>
      </c>
      <c r="E49" s="11">
        <v>2019</v>
      </c>
    </row>
    <row r="50" spans="2:5" hidden="1" x14ac:dyDescent="0.25">
      <c r="B50" s="13">
        <v>69</v>
      </c>
      <c r="C50" s="13" t="s">
        <v>72</v>
      </c>
      <c r="D50" s="10">
        <v>29941</v>
      </c>
      <c r="E50" s="13">
        <v>2019</v>
      </c>
    </row>
    <row r="51" spans="2:5" hidden="1" x14ac:dyDescent="0.25">
      <c r="B51" s="11">
        <v>70</v>
      </c>
      <c r="C51" s="11" t="s">
        <v>73</v>
      </c>
      <c r="D51" s="12">
        <v>29799</v>
      </c>
      <c r="E51" s="11">
        <v>2019</v>
      </c>
    </row>
    <row r="52" spans="2:5" hidden="1" x14ac:dyDescent="0.25">
      <c r="B52" s="13">
        <v>71</v>
      </c>
      <c r="C52" s="13" t="s">
        <v>74</v>
      </c>
      <c r="D52" s="10">
        <v>29253</v>
      </c>
      <c r="E52" s="13">
        <v>2019</v>
      </c>
    </row>
    <row r="53" spans="2:5" hidden="1" x14ac:dyDescent="0.25">
      <c r="B53" s="11">
        <v>72</v>
      </c>
      <c r="C53" s="11" t="s">
        <v>75</v>
      </c>
      <c r="D53" s="12">
        <v>29223</v>
      </c>
      <c r="E53" s="11">
        <v>2019</v>
      </c>
    </row>
    <row r="54" spans="2:5" hidden="1" x14ac:dyDescent="0.25">
      <c r="B54" s="13">
        <v>73</v>
      </c>
      <c r="C54" s="13" t="s">
        <v>76</v>
      </c>
      <c r="D54" s="10">
        <v>28602</v>
      </c>
      <c r="E54" s="13">
        <v>2019</v>
      </c>
    </row>
    <row r="55" spans="2:5" hidden="1" x14ac:dyDescent="0.25">
      <c r="B55" s="11">
        <v>74</v>
      </c>
      <c r="C55" s="11" t="s">
        <v>77</v>
      </c>
      <c r="D55" s="12">
        <v>28424</v>
      </c>
      <c r="E55" s="11">
        <v>2019</v>
      </c>
    </row>
    <row r="56" spans="2:5" hidden="1" x14ac:dyDescent="0.25">
      <c r="B56" s="13">
        <v>75</v>
      </c>
      <c r="C56" s="13" t="s">
        <v>78</v>
      </c>
      <c r="D56" s="10">
        <v>28364</v>
      </c>
      <c r="E56" s="13">
        <v>2019</v>
      </c>
    </row>
    <row r="57" spans="2:5" hidden="1" x14ac:dyDescent="0.25">
      <c r="B57" s="11">
        <v>76</v>
      </c>
      <c r="C57" s="11" t="s">
        <v>79</v>
      </c>
      <c r="D57" s="12">
        <v>27299</v>
      </c>
      <c r="E57" s="11">
        <v>2019</v>
      </c>
    </row>
    <row r="58" spans="2:5" hidden="1" x14ac:dyDescent="0.25">
      <c r="B58" s="13">
        <v>77</v>
      </c>
      <c r="C58" s="13" t="s">
        <v>80</v>
      </c>
      <c r="D58" s="10">
        <v>27044</v>
      </c>
      <c r="E58" s="13">
        <v>2019</v>
      </c>
    </row>
    <row r="59" spans="2:5" hidden="1" x14ac:dyDescent="0.25">
      <c r="B59" s="11">
        <v>78</v>
      </c>
      <c r="C59" s="11" t="s">
        <v>81</v>
      </c>
      <c r="D59" s="12">
        <v>26438</v>
      </c>
      <c r="E59" s="11">
        <v>2019</v>
      </c>
    </row>
    <row r="60" spans="2:5" hidden="1" x14ac:dyDescent="0.25">
      <c r="B60" s="13">
        <v>79</v>
      </c>
      <c r="C60" s="13" t="s">
        <v>82</v>
      </c>
      <c r="D60" s="10">
        <v>26351</v>
      </c>
      <c r="E60" s="13">
        <v>2019</v>
      </c>
    </row>
    <row r="61" spans="2:5" hidden="1" x14ac:dyDescent="0.25">
      <c r="B61" s="11">
        <v>80</v>
      </c>
      <c r="C61" s="11" t="s">
        <v>83</v>
      </c>
      <c r="D61" s="12">
        <v>26176</v>
      </c>
      <c r="E61" s="11">
        <v>2019</v>
      </c>
    </row>
    <row r="62" spans="2:5" hidden="1" x14ac:dyDescent="0.25">
      <c r="B62" s="13">
        <v>82</v>
      </c>
      <c r="C62" s="13" t="s">
        <v>85</v>
      </c>
      <c r="D62" s="10">
        <v>24479</v>
      </c>
      <c r="E62" s="13">
        <v>2019</v>
      </c>
    </row>
    <row r="63" spans="2:5" hidden="1" x14ac:dyDescent="0.25">
      <c r="B63" s="11">
        <v>83</v>
      </c>
      <c r="C63" s="11" t="s">
        <v>86</v>
      </c>
      <c r="D63" s="12">
        <v>24226</v>
      </c>
      <c r="E63" s="11">
        <v>2019</v>
      </c>
    </row>
    <row r="64" spans="2:5" hidden="1" x14ac:dyDescent="0.25">
      <c r="B64" s="13">
        <v>84</v>
      </c>
      <c r="C64" s="13" t="s">
        <v>87</v>
      </c>
      <c r="D64" s="10">
        <v>23174</v>
      </c>
      <c r="E64" s="13">
        <v>2019</v>
      </c>
    </row>
    <row r="65" spans="2:5" hidden="1" x14ac:dyDescent="0.25">
      <c r="B65" s="11">
        <v>85</v>
      </c>
      <c r="C65" s="11" t="s">
        <v>88</v>
      </c>
      <c r="D65" s="12">
        <v>22870</v>
      </c>
      <c r="E65" s="11">
        <v>2019</v>
      </c>
    </row>
    <row r="66" spans="2:5" hidden="1" x14ac:dyDescent="0.25">
      <c r="B66" s="13">
        <v>86</v>
      </c>
      <c r="C66" s="13" t="s">
        <v>89</v>
      </c>
      <c r="D66" s="10">
        <v>22064</v>
      </c>
      <c r="E66" s="13">
        <v>2019</v>
      </c>
    </row>
    <row r="67" spans="2:5" hidden="1" x14ac:dyDescent="0.25">
      <c r="B67" s="11">
        <v>87</v>
      </c>
      <c r="C67" s="11" t="s">
        <v>90</v>
      </c>
      <c r="D67" s="12">
        <v>21910</v>
      </c>
      <c r="E67" s="11">
        <v>2019</v>
      </c>
    </row>
    <row r="68" spans="2:5" hidden="1" x14ac:dyDescent="0.25">
      <c r="B68" s="13">
        <v>88</v>
      </c>
      <c r="C68" s="13" t="s">
        <v>91</v>
      </c>
      <c r="D68" s="10">
        <v>21561</v>
      </c>
      <c r="E68" s="13">
        <v>2019</v>
      </c>
    </row>
    <row r="69" spans="2:5" hidden="1" x14ac:dyDescent="0.25">
      <c r="B69" s="11">
        <v>89</v>
      </c>
      <c r="C69" s="11" t="s">
        <v>92</v>
      </c>
      <c r="D69" s="12">
        <v>21470</v>
      </c>
      <c r="E69" s="11">
        <v>2019</v>
      </c>
    </row>
    <row r="70" spans="2:5" hidden="1" x14ac:dyDescent="0.25">
      <c r="B70" s="13">
        <v>90</v>
      </c>
      <c r="C70" s="13" t="s">
        <v>93</v>
      </c>
      <c r="D70" s="10">
        <v>19796</v>
      </c>
      <c r="E70" s="13">
        <v>2019</v>
      </c>
    </row>
    <row r="71" spans="2:5" hidden="1" x14ac:dyDescent="0.25">
      <c r="B71" s="11">
        <v>91</v>
      </c>
      <c r="C71" s="11" t="s">
        <v>94</v>
      </c>
      <c r="D71" s="12">
        <v>19642</v>
      </c>
      <c r="E71" s="11">
        <v>2019</v>
      </c>
    </row>
    <row r="72" spans="2:5" hidden="1" x14ac:dyDescent="0.25">
      <c r="B72" s="13">
        <v>92</v>
      </c>
      <c r="C72" s="13" t="s">
        <v>95</v>
      </c>
      <c r="D72" s="10">
        <v>19531</v>
      </c>
      <c r="E72" s="13">
        <v>2019</v>
      </c>
    </row>
    <row r="73" spans="2:5" hidden="1" x14ac:dyDescent="0.25">
      <c r="B73" s="11">
        <v>94</v>
      </c>
      <c r="C73" s="11" t="s">
        <v>97</v>
      </c>
      <c r="D73" s="12">
        <v>19150</v>
      </c>
      <c r="E73" s="11">
        <v>2019</v>
      </c>
    </row>
    <row r="74" spans="2:5" hidden="1" x14ac:dyDescent="0.25">
      <c r="B74" s="13">
        <v>95</v>
      </c>
      <c r="C74" s="13" t="s">
        <v>98</v>
      </c>
      <c r="D74" s="10">
        <v>18558</v>
      </c>
      <c r="E74" s="13">
        <v>2019</v>
      </c>
    </row>
    <row r="75" spans="2:5" hidden="1" x14ac:dyDescent="0.25">
      <c r="B75" s="11">
        <v>96</v>
      </c>
      <c r="C75" s="11" t="s">
        <v>99</v>
      </c>
      <c r="D75" s="12">
        <v>18460</v>
      </c>
      <c r="E75" s="11">
        <v>2019</v>
      </c>
    </row>
    <row r="76" spans="2:5" hidden="1" x14ac:dyDescent="0.25">
      <c r="B76" s="13">
        <v>97</v>
      </c>
      <c r="C76" s="13" t="s">
        <v>100</v>
      </c>
      <c r="D76" s="10">
        <v>18413</v>
      </c>
      <c r="E76" s="13">
        <v>2019</v>
      </c>
    </row>
    <row r="77" spans="2:5" hidden="1" x14ac:dyDescent="0.25">
      <c r="B77" s="11">
        <v>98</v>
      </c>
      <c r="C77" s="11" t="s">
        <v>101</v>
      </c>
      <c r="D77" s="12">
        <v>18233</v>
      </c>
      <c r="E77" s="11">
        <v>2019</v>
      </c>
    </row>
    <row r="78" spans="2:5" hidden="1" x14ac:dyDescent="0.25">
      <c r="B78" s="13">
        <v>99</v>
      </c>
      <c r="C78" s="13" t="s">
        <v>102</v>
      </c>
      <c r="D78" s="10">
        <v>17767</v>
      </c>
      <c r="E78" s="13">
        <v>2019</v>
      </c>
    </row>
    <row r="79" spans="2:5" hidden="1" x14ac:dyDescent="0.25">
      <c r="B79" s="11">
        <v>100</v>
      </c>
      <c r="C79" s="11" t="s">
        <v>103</v>
      </c>
      <c r="D79" s="12">
        <v>17579</v>
      </c>
      <c r="E79" s="11">
        <v>2019</v>
      </c>
    </row>
    <row r="80" spans="2:5" hidden="1" x14ac:dyDescent="0.25">
      <c r="B80" s="13">
        <v>102</v>
      </c>
      <c r="C80" s="13" t="s">
        <v>105</v>
      </c>
      <c r="D80" s="10">
        <v>17039</v>
      </c>
      <c r="E80" s="13">
        <v>2019</v>
      </c>
    </row>
    <row r="81" spans="2:5" hidden="1" x14ac:dyDescent="0.25">
      <c r="B81" s="11">
        <v>105</v>
      </c>
      <c r="C81" s="11" t="s">
        <v>108</v>
      </c>
      <c r="D81" s="12">
        <v>16525</v>
      </c>
      <c r="E81" s="11">
        <v>2019</v>
      </c>
    </row>
    <row r="82" spans="2:5" hidden="1" x14ac:dyDescent="0.25">
      <c r="B82" s="13">
        <v>106</v>
      </c>
      <c r="C82" s="13" t="s">
        <v>109</v>
      </c>
      <c r="D82" s="10">
        <v>16479</v>
      </c>
      <c r="E82" s="13">
        <v>2019</v>
      </c>
    </row>
    <row r="83" spans="2:5" hidden="1" x14ac:dyDescent="0.25">
      <c r="B83" s="11">
        <v>107</v>
      </c>
      <c r="C83" s="11" t="s">
        <v>110</v>
      </c>
      <c r="D83" s="12">
        <v>16117</v>
      </c>
      <c r="E83" s="11">
        <v>2019</v>
      </c>
    </row>
    <row r="84" spans="2:5" hidden="1" x14ac:dyDescent="0.25">
      <c r="B84" s="13">
        <v>108</v>
      </c>
      <c r="C84" s="13" t="s">
        <v>111</v>
      </c>
      <c r="D84" s="10">
        <v>15639</v>
      </c>
      <c r="E84" s="13">
        <v>2019</v>
      </c>
    </row>
    <row r="85" spans="2:5" hidden="1" x14ac:dyDescent="0.25">
      <c r="B85" s="11">
        <v>109</v>
      </c>
      <c r="C85" s="11" t="s">
        <v>112</v>
      </c>
      <c r="D85" s="12">
        <v>15449</v>
      </c>
      <c r="E85" s="11">
        <v>2019</v>
      </c>
    </row>
    <row r="86" spans="2:5" hidden="1" x14ac:dyDescent="0.25">
      <c r="B86" s="13">
        <v>110</v>
      </c>
      <c r="C86" s="13" t="s">
        <v>113</v>
      </c>
      <c r="D86" s="10">
        <v>15174</v>
      </c>
      <c r="E86" s="13">
        <v>2019</v>
      </c>
    </row>
    <row r="87" spans="2:5" hidden="1" x14ac:dyDescent="0.25">
      <c r="B87" s="11">
        <v>111</v>
      </c>
      <c r="C87" s="11" t="s">
        <v>114</v>
      </c>
      <c r="D87" s="12">
        <v>14992</v>
      </c>
      <c r="E87" s="11">
        <v>2019</v>
      </c>
    </row>
    <row r="88" spans="2:5" hidden="1" x14ac:dyDescent="0.25">
      <c r="B88" s="13">
        <v>112</v>
      </c>
      <c r="C88" s="13" t="s">
        <v>115</v>
      </c>
      <c r="D88" s="10">
        <v>14950</v>
      </c>
      <c r="E88" s="13">
        <v>2019</v>
      </c>
    </row>
    <row r="89" spans="2:5" hidden="1" x14ac:dyDescent="0.25">
      <c r="B89" s="11">
        <v>113</v>
      </c>
      <c r="C89" s="11" t="s">
        <v>116</v>
      </c>
      <c r="D89" s="12">
        <v>14912</v>
      </c>
      <c r="E89" s="11">
        <v>2019</v>
      </c>
    </row>
    <row r="90" spans="2:5" hidden="1" x14ac:dyDescent="0.25">
      <c r="B90" s="13">
        <v>115</v>
      </c>
      <c r="C90" s="13" t="s">
        <v>118</v>
      </c>
      <c r="D90" s="10">
        <v>14722</v>
      </c>
      <c r="E90" s="13">
        <v>2019</v>
      </c>
    </row>
    <row r="91" spans="2:5" hidden="1" x14ac:dyDescent="0.25">
      <c r="B91" s="11">
        <v>116</v>
      </c>
      <c r="C91" s="11" t="s">
        <v>119</v>
      </c>
      <c r="D91" s="12">
        <v>14652</v>
      </c>
      <c r="E91" s="11">
        <v>2019</v>
      </c>
    </row>
    <row r="92" spans="2:5" hidden="1" x14ac:dyDescent="0.25">
      <c r="B92" s="13">
        <v>117</v>
      </c>
      <c r="C92" s="13" t="s">
        <v>120</v>
      </c>
      <c r="D92" s="10">
        <v>14552</v>
      </c>
      <c r="E92" s="13">
        <v>2019</v>
      </c>
    </row>
    <row r="93" spans="2:5" hidden="1" x14ac:dyDescent="0.25">
      <c r="B93" s="11">
        <v>118</v>
      </c>
      <c r="C93" s="11" t="s">
        <v>121</v>
      </c>
      <c r="D93" s="12">
        <v>14404</v>
      </c>
      <c r="E93" s="11">
        <v>2019</v>
      </c>
    </row>
    <row r="94" spans="2:5" hidden="1" x14ac:dyDescent="0.25">
      <c r="B94" s="13">
        <v>119</v>
      </c>
      <c r="C94" s="13" t="s">
        <v>122</v>
      </c>
      <c r="D94" s="10">
        <v>13965</v>
      </c>
      <c r="E94" s="13">
        <v>2019</v>
      </c>
    </row>
    <row r="95" spans="2:5" hidden="1" x14ac:dyDescent="0.25">
      <c r="B95" s="11">
        <v>120</v>
      </c>
      <c r="C95" s="11" t="s">
        <v>123</v>
      </c>
      <c r="D95" s="12">
        <v>13684</v>
      </c>
      <c r="E95" s="11">
        <v>2019</v>
      </c>
    </row>
    <row r="96" spans="2:5" hidden="1" x14ac:dyDescent="0.25">
      <c r="B96" s="13">
        <v>121</v>
      </c>
      <c r="C96" s="13" t="s">
        <v>124</v>
      </c>
      <c r="D96" s="10">
        <v>13654</v>
      </c>
      <c r="E96" s="13">
        <v>2019</v>
      </c>
    </row>
    <row r="97" spans="2:5" hidden="1" x14ac:dyDescent="0.25">
      <c r="B97" s="11">
        <v>122</v>
      </c>
      <c r="C97" s="11" t="s">
        <v>125</v>
      </c>
      <c r="D97" s="12">
        <v>13082</v>
      </c>
      <c r="E97" s="11">
        <v>2019</v>
      </c>
    </row>
    <row r="98" spans="2:5" hidden="1" x14ac:dyDescent="0.25">
      <c r="B98" s="13">
        <v>123</v>
      </c>
      <c r="C98" s="13" t="s">
        <v>126</v>
      </c>
      <c r="D98" s="10">
        <v>13078</v>
      </c>
      <c r="E98" s="13">
        <v>2019</v>
      </c>
    </row>
    <row r="99" spans="2:5" hidden="1" x14ac:dyDescent="0.25">
      <c r="B99" s="11">
        <v>124</v>
      </c>
      <c r="C99" s="11" t="s">
        <v>127</v>
      </c>
      <c r="D99" s="12">
        <v>13050</v>
      </c>
      <c r="E99" s="11">
        <v>2019</v>
      </c>
    </row>
    <row r="100" spans="2:5" hidden="1" x14ac:dyDescent="0.25">
      <c r="B100" s="13">
        <v>125</v>
      </c>
      <c r="C100" s="13" t="s">
        <v>128</v>
      </c>
      <c r="D100" s="10">
        <v>12848</v>
      </c>
      <c r="E100" s="13">
        <v>2019</v>
      </c>
    </row>
    <row r="101" spans="2:5" hidden="1" x14ac:dyDescent="0.25">
      <c r="B101" s="11">
        <v>126</v>
      </c>
      <c r="C101" s="11" t="s">
        <v>129</v>
      </c>
      <c r="D101" s="12">
        <v>12810</v>
      </c>
      <c r="E101" s="11">
        <v>2019</v>
      </c>
    </row>
    <row r="102" spans="2:5" hidden="1" x14ac:dyDescent="0.25">
      <c r="B102" s="13">
        <v>127</v>
      </c>
      <c r="C102" s="13" t="s">
        <v>130</v>
      </c>
      <c r="D102" s="10">
        <v>12685</v>
      </c>
      <c r="E102" s="13">
        <v>2019</v>
      </c>
    </row>
    <row r="103" spans="2:5" hidden="1" x14ac:dyDescent="0.25">
      <c r="B103" s="11">
        <v>128</v>
      </c>
      <c r="C103" s="11" t="s">
        <v>131</v>
      </c>
      <c r="D103" s="12">
        <v>12485</v>
      </c>
      <c r="E103" s="11">
        <v>2019</v>
      </c>
    </row>
    <row r="104" spans="2:5" hidden="1" x14ac:dyDescent="0.25">
      <c r="B104" s="13">
        <v>129</v>
      </c>
      <c r="C104" s="13" t="s">
        <v>132</v>
      </c>
      <c r="D104" s="10">
        <v>12482</v>
      </c>
      <c r="E104" s="13">
        <v>2019</v>
      </c>
    </row>
    <row r="105" spans="2:5" hidden="1" x14ac:dyDescent="0.25">
      <c r="B105" s="11">
        <v>130</v>
      </c>
      <c r="C105" s="11" t="s">
        <v>133</v>
      </c>
      <c r="D105" s="12">
        <v>12389</v>
      </c>
      <c r="E105" s="11">
        <v>2019</v>
      </c>
    </row>
    <row r="106" spans="2:5" hidden="1" x14ac:dyDescent="0.25">
      <c r="B106" s="13">
        <v>131</v>
      </c>
      <c r="C106" s="13" t="s">
        <v>134</v>
      </c>
      <c r="D106" s="10">
        <v>12317</v>
      </c>
      <c r="E106" s="13">
        <v>2019</v>
      </c>
    </row>
    <row r="107" spans="2:5" hidden="1" x14ac:dyDescent="0.25">
      <c r="B107" s="11">
        <v>134</v>
      </c>
      <c r="C107" s="11" t="s">
        <v>137</v>
      </c>
      <c r="D107" s="12">
        <v>11917</v>
      </c>
      <c r="E107" s="11">
        <v>2019</v>
      </c>
    </row>
    <row r="108" spans="2:5" hidden="1" x14ac:dyDescent="0.25">
      <c r="B108" s="13">
        <v>135</v>
      </c>
      <c r="C108" s="13" t="s">
        <v>138</v>
      </c>
      <c r="D108" s="10">
        <v>11832</v>
      </c>
      <c r="E108" s="13">
        <v>2019</v>
      </c>
    </row>
    <row r="109" spans="2:5" hidden="1" x14ac:dyDescent="0.25">
      <c r="B109" s="11">
        <v>136</v>
      </c>
      <c r="C109" s="11" t="s">
        <v>139</v>
      </c>
      <c r="D109" s="12">
        <v>11812</v>
      </c>
      <c r="E109" s="11">
        <v>2019</v>
      </c>
    </row>
    <row r="110" spans="2:5" hidden="1" x14ac:dyDescent="0.25">
      <c r="B110" s="13">
        <v>137</v>
      </c>
      <c r="C110" s="13" t="s">
        <v>140</v>
      </c>
      <c r="D110" s="10">
        <v>11763</v>
      </c>
      <c r="E110" s="13">
        <v>2019</v>
      </c>
    </row>
    <row r="111" spans="2:5" hidden="1" x14ac:dyDescent="0.25">
      <c r="B111" s="11">
        <v>138</v>
      </c>
      <c r="C111" s="11" t="s">
        <v>141</v>
      </c>
      <c r="D111" s="12">
        <v>11583</v>
      </c>
      <c r="E111" s="11">
        <v>2019</v>
      </c>
    </row>
    <row r="112" spans="2:5" hidden="1" x14ac:dyDescent="0.25">
      <c r="B112" s="13">
        <v>139</v>
      </c>
      <c r="C112" s="13" t="s">
        <v>142</v>
      </c>
      <c r="D112" s="10">
        <v>11511</v>
      </c>
      <c r="E112" s="13">
        <v>2019</v>
      </c>
    </row>
    <row r="113" spans="2:5" hidden="1" x14ac:dyDescent="0.25">
      <c r="B113" s="11">
        <v>140</v>
      </c>
      <c r="C113" s="11" t="s">
        <v>143</v>
      </c>
      <c r="D113" s="12">
        <v>11375</v>
      </c>
      <c r="E113" s="11">
        <v>2019</v>
      </c>
    </row>
    <row r="114" spans="2:5" hidden="1" x14ac:dyDescent="0.25">
      <c r="B114" s="13">
        <v>141</v>
      </c>
      <c r="C114" s="13" t="s">
        <v>144</v>
      </c>
      <c r="D114" s="10">
        <v>11368</v>
      </c>
      <c r="E114" s="13">
        <v>2019</v>
      </c>
    </row>
    <row r="115" spans="2:5" hidden="1" x14ac:dyDescent="0.25">
      <c r="B115" s="11">
        <v>143</v>
      </c>
      <c r="C115" s="11" t="s">
        <v>146</v>
      </c>
      <c r="D115" s="12">
        <v>10881</v>
      </c>
      <c r="E115" s="11">
        <v>2019</v>
      </c>
    </row>
    <row r="116" spans="2:5" hidden="1" x14ac:dyDescent="0.25">
      <c r="B116" s="13">
        <v>144</v>
      </c>
      <c r="C116" s="13" t="s">
        <v>147</v>
      </c>
      <c r="D116" s="10">
        <v>10756</v>
      </c>
      <c r="E116" s="13">
        <v>2019</v>
      </c>
    </row>
    <row r="117" spans="2:5" hidden="1" x14ac:dyDescent="0.25">
      <c r="B117" s="11">
        <v>145</v>
      </c>
      <c r="C117" s="11" t="s">
        <v>148</v>
      </c>
      <c r="D117" s="12">
        <v>10071</v>
      </c>
      <c r="E117" s="11">
        <v>2019</v>
      </c>
    </row>
    <row r="118" spans="2:5" hidden="1" x14ac:dyDescent="0.25">
      <c r="B118" s="13">
        <v>146</v>
      </c>
      <c r="C118" s="13" t="s">
        <v>149</v>
      </c>
      <c r="D118" s="10">
        <v>9762</v>
      </c>
      <c r="E118" s="13">
        <v>2019</v>
      </c>
    </row>
    <row r="119" spans="2:5" hidden="1" x14ac:dyDescent="0.25">
      <c r="B119" s="11">
        <v>147</v>
      </c>
      <c r="C119" s="11" t="s">
        <v>150</v>
      </c>
      <c r="D119" s="12">
        <v>9637</v>
      </c>
      <c r="E119" s="11">
        <v>2019</v>
      </c>
    </row>
    <row r="120" spans="2:5" hidden="1" x14ac:dyDescent="0.25">
      <c r="B120" s="13">
        <v>148</v>
      </c>
      <c r="C120" s="13" t="s">
        <v>151</v>
      </c>
      <c r="D120" s="10">
        <v>8908</v>
      </c>
      <c r="E120" s="13">
        <v>2019</v>
      </c>
    </row>
    <row r="121" spans="2:5" hidden="1" x14ac:dyDescent="0.25">
      <c r="B121" s="11">
        <v>149</v>
      </c>
      <c r="C121" s="11" t="s">
        <v>152</v>
      </c>
      <c r="D121" s="12">
        <v>8776</v>
      </c>
      <c r="E121" s="11">
        <v>2019</v>
      </c>
    </row>
    <row r="122" spans="2:5" hidden="1" x14ac:dyDescent="0.25">
      <c r="B122" s="13">
        <v>150</v>
      </c>
      <c r="C122" s="13" t="s">
        <v>153</v>
      </c>
      <c r="D122" s="10">
        <v>8724</v>
      </c>
      <c r="E122" s="13">
        <v>2019</v>
      </c>
    </row>
    <row r="123" spans="2:5" hidden="1" x14ac:dyDescent="0.25">
      <c r="B123" s="11">
        <v>151</v>
      </c>
      <c r="C123" s="11" t="s">
        <v>154</v>
      </c>
      <c r="D123" s="12">
        <v>8637</v>
      </c>
      <c r="E123" s="11">
        <v>2019</v>
      </c>
    </row>
    <row r="124" spans="2:5" hidden="1" x14ac:dyDescent="0.25">
      <c r="B124" s="13">
        <v>152</v>
      </c>
      <c r="C124" s="13" t="s">
        <v>155</v>
      </c>
      <c r="D124" s="10">
        <v>8622</v>
      </c>
      <c r="E124" s="13">
        <v>2019</v>
      </c>
    </row>
    <row r="125" spans="2:5" hidden="1" x14ac:dyDescent="0.25">
      <c r="B125" s="11">
        <v>153</v>
      </c>
      <c r="C125" s="11" t="s">
        <v>156</v>
      </c>
      <c r="D125" s="12">
        <v>8041</v>
      </c>
      <c r="E125" s="11">
        <v>2019</v>
      </c>
    </row>
    <row r="126" spans="2:5" hidden="1" x14ac:dyDescent="0.25">
      <c r="B126" s="13">
        <v>154</v>
      </c>
      <c r="C126" s="13" t="s">
        <v>157</v>
      </c>
      <c r="D126" s="10">
        <v>7826</v>
      </c>
      <c r="E126" s="13">
        <v>2019</v>
      </c>
    </row>
    <row r="127" spans="2:5" hidden="1" x14ac:dyDescent="0.25">
      <c r="B127" s="11">
        <v>156</v>
      </c>
      <c r="C127" s="11" t="s">
        <v>159</v>
      </c>
      <c r="D127" s="12">
        <v>7515</v>
      </c>
      <c r="E127" s="11">
        <v>2019</v>
      </c>
    </row>
    <row r="128" spans="2:5" hidden="1" x14ac:dyDescent="0.25">
      <c r="B128" s="13">
        <v>157</v>
      </c>
      <c r="C128" s="13" t="s">
        <v>160</v>
      </c>
      <c r="D128" s="10">
        <v>7172</v>
      </c>
      <c r="E128" s="13">
        <v>2019</v>
      </c>
    </row>
    <row r="129" spans="2:5" hidden="1" x14ac:dyDescent="0.25">
      <c r="B129" s="11">
        <v>158</v>
      </c>
      <c r="C129" s="11" t="s">
        <v>161</v>
      </c>
      <c r="D129" s="12">
        <v>7005</v>
      </c>
      <c r="E129" s="11">
        <v>2019</v>
      </c>
    </row>
    <row r="130" spans="2:5" hidden="1" x14ac:dyDescent="0.25">
      <c r="B130" s="13">
        <v>159</v>
      </c>
      <c r="C130" s="13" t="s">
        <v>162</v>
      </c>
      <c r="D130" s="10">
        <v>6999</v>
      </c>
      <c r="E130" s="13">
        <v>2019</v>
      </c>
    </row>
    <row r="131" spans="2:5" hidden="1" x14ac:dyDescent="0.25">
      <c r="B131" s="11">
        <v>160</v>
      </c>
      <c r="C131" s="11" t="s">
        <v>163</v>
      </c>
      <c r="D131" s="12">
        <v>6700</v>
      </c>
      <c r="E131" s="11">
        <v>2019</v>
      </c>
    </row>
    <row r="132" spans="2:5" hidden="1" x14ac:dyDescent="0.25">
      <c r="B132" s="13">
        <v>161</v>
      </c>
      <c r="C132" s="13" t="s">
        <v>164</v>
      </c>
      <c r="D132" s="10">
        <v>6670</v>
      </c>
      <c r="E132" s="13">
        <v>2019</v>
      </c>
    </row>
    <row r="133" spans="2:5" hidden="1" x14ac:dyDescent="0.25">
      <c r="B133" s="11">
        <v>162</v>
      </c>
      <c r="C133" s="11" t="s">
        <v>165</v>
      </c>
      <c r="D133" s="12">
        <v>6521</v>
      </c>
      <c r="E133" s="11">
        <v>2019</v>
      </c>
    </row>
    <row r="134" spans="2:5" hidden="1" x14ac:dyDescent="0.25">
      <c r="B134" s="13">
        <v>163</v>
      </c>
      <c r="C134" s="13" t="s">
        <v>166</v>
      </c>
      <c r="D134" s="10">
        <v>6383</v>
      </c>
      <c r="E134" s="13">
        <v>2019</v>
      </c>
    </row>
    <row r="135" spans="2:5" hidden="1" x14ac:dyDescent="0.25">
      <c r="B135" s="11">
        <v>164</v>
      </c>
      <c r="C135" s="11" t="s">
        <v>167</v>
      </c>
      <c r="D135" s="12">
        <v>6220</v>
      </c>
      <c r="E135" s="11">
        <v>2019</v>
      </c>
    </row>
    <row r="136" spans="2:5" hidden="1" x14ac:dyDescent="0.25">
      <c r="B136" s="13">
        <v>167</v>
      </c>
      <c r="C136" s="13" t="s">
        <v>170</v>
      </c>
      <c r="D136" s="10">
        <v>5728</v>
      </c>
      <c r="E136" s="13">
        <v>2019</v>
      </c>
    </row>
    <row r="137" spans="2:5" hidden="1" x14ac:dyDescent="0.25">
      <c r="B137" s="11">
        <v>168</v>
      </c>
      <c r="C137" s="11" t="s">
        <v>171</v>
      </c>
      <c r="D137" s="12">
        <v>5535</v>
      </c>
      <c r="E137" s="11">
        <v>2019</v>
      </c>
    </row>
    <row r="138" spans="2:5" hidden="1" x14ac:dyDescent="0.25">
      <c r="B138" s="13">
        <v>169</v>
      </c>
      <c r="C138" s="13" t="s">
        <v>172</v>
      </c>
      <c r="D138" s="10">
        <v>5413</v>
      </c>
      <c r="E138" s="13">
        <v>2019</v>
      </c>
    </row>
    <row r="139" spans="2:5" hidden="1" x14ac:dyDescent="0.25">
      <c r="B139" s="11">
        <v>170</v>
      </c>
      <c r="C139" s="11" t="s">
        <v>173</v>
      </c>
      <c r="D139" s="12">
        <v>5407</v>
      </c>
      <c r="E139" s="11">
        <v>2019</v>
      </c>
    </row>
    <row r="140" spans="2:5" hidden="1" x14ac:dyDescent="0.25">
      <c r="B140" s="13">
        <v>171</v>
      </c>
      <c r="C140" s="13" t="s">
        <v>174</v>
      </c>
      <c r="D140" s="10">
        <v>5253</v>
      </c>
      <c r="E140" s="13">
        <v>2019</v>
      </c>
    </row>
    <row r="141" spans="2:5" hidden="1" x14ac:dyDescent="0.25">
      <c r="B141" s="11">
        <v>172</v>
      </c>
      <c r="C141" s="11" t="s">
        <v>175</v>
      </c>
      <c r="D141" s="12">
        <v>5213</v>
      </c>
      <c r="E141" s="11">
        <v>2019</v>
      </c>
    </row>
    <row r="142" spans="2:5" hidden="1" x14ac:dyDescent="0.25">
      <c r="B142" s="13">
        <v>173</v>
      </c>
      <c r="C142" s="13" t="s">
        <v>176</v>
      </c>
      <c r="D142" s="10">
        <v>5197</v>
      </c>
      <c r="E142" s="13">
        <v>2019</v>
      </c>
    </row>
    <row r="143" spans="2:5" hidden="1" x14ac:dyDescent="0.25">
      <c r="B143" s="11">
        <v>174</v>
      </c>
      <c r="C143" s="11" t="s">
        <v>177</v>
      </c>
      <c r="D143" s="12">
        <v>5142</v>
      </c>
      <c r="E143" s="11">
        <v>2019</v>
      </c>
    </row>
    <row r="144" spans="2:5" hidden="1" x14ac:dyDescent="0.25">
      <c r="B144" s="13">
        <v>175</v>
      </c>
      <c r="C144" s="13" t="s">
        <v>178</v>
      </c>
      <c r="D144" s="10">
        <v>5136</v>
      </c>
      <c r="E144" s="13">
        <v>2019</v>
      </c>
    </row>
    <row r="145" spans="2:5" hidden="1" x14ac:dyDescent="0.25">
      <c r="B145" s="11">
        <v>176</v>
      </c>
      <c r="C145" s="11" t="s">
        <v>179</v>
      </c>
      <c r="D145" s="12">
        <v>4754</v>
      </c>
      <c r="E145" s="11">
        <v>2019</v>
      </c>
    </row>
    <row r="146" spans="2:5" hidden="1" x14ac:dyDescent="0.25">
      <c r="B146" s="13">
        <v>177</v>
      </c>
      <c r="C146" s="13" t="s">
        <v>180</v>
      </c>
      <c r="D146" s="10">
        <v>4690</v>
      </c>
      <c r="E146" s="13">
        <v>2019</v>
      </c>
    </row>
    <row r="147" spans="2:5" hidden="1" x14ac:dyDescent="0.25">
      <c r="B147" s="11">
        <v>178</v>
      </c>
      <c r="C147" s="11" t="s">
        <v>181</v>
      </c>
      <c r="D147" s="12">
        <v>4389</v>
      </c>
      <c r="E147" s="11">
        <v>2019</v>
      </c>
    </row>
    <row r="148" spans="2:5" hidden="1" x14ac:dyDescent="0.25">
      <c r="B148" s="13">
        <v>179</v>
      </c>
      <c r="C148" s="13" t="s">
        <v>182</v>
      </c>
      <c r="D148" s="10">
        <v>4355</v>
      </c>
      <c r="E148" s="13">
        <v>2019</v>
      </c>
    </row>
    <row r="149" spans="2:5" hidden="1" x14ac:dyDescent="0.25">
      <c r="B149" s="11">
        <v>180</v>
      </c>
      <c r="C149" s="11" t="s">
        <v>183</v>
      </c>
      <c r="D149" s="12">
        <v>4330</v>
      </c>
      <c r="E149" s="11">
        <v>2019</v>
      </c>
    </row>
    <row r="150" spans="2:5" hidden="1" x14ac:dyDescent="0.25">
      <c r="B150" s="13">
        <v>181</v>
      </c>
      <c r="C150" s="13" t="s">
        <v>184</v>
      </c>
      <c r="D150" s="10">
        <v>4281</v>
      </c>
      <c r="E150" s="13">
        <v>2019</v>
      </c>
    </row>
    <row r="151" spans="2:5" hidden="1" x14ac:dyDescent="0.25">
      <c r="B151" s="11">
        <v>182</v>
      </c>
      <c r="C151" s="11" t="s">
        <v>185</v>
      </c>
      <c r="D151" s="12">
        <v>3970</v>
      </c>
      <c r="E151" s="11">
        <v>2019</v>
      </c>
    </row>
    <row r="152" spans="2:5" hidden="1" x14ac:dyDescent="0.25">
      <c r="B152" s="13">
        <v>183</v>
      </c>
      <c r="C152" s="13" t="s">
        <v>186</v>
      </c>
      <c r="D152" s="10">
        <v>3958</v>
      </c>
      <c r="E152" s="13">
        <v>2019</v>
      </c>
    </row>
    <row r="153" spans="2:5" hidden="1" x14ac:dyDescent="0.25">
      <c r="B153" s="11">
        <v>186</v>
      </c>
      <c r="C153" s="11" t="s">
        <v>189</v>
      </c>
      <c r="D153" s="12">
        <v>3673</v>
      </c>
      <c r="E153" s="11">
        <v>2019</v>
      </c>
    </row>
    <row r="154" spans="2:5" hidden="1" x14ac:dyDescent="0.25">
      <c r="B154" s="13">
        <v>187</v>
      </c>
      <c r="C154" s="13" t="s">
        <v>190</v>
      </c>
      <c r="D154" s="10">
        <v>3642</v>
      </c>
      <c r="E154" s="13">
        <v>2019</v>
      </c>
    </row>
    <row r="155" spans="2:5" hidden="1" x14ac:dyDescent="0.25">
      <c r="B155" s="11">
        <v>188</v>
      </c>
      <c r="C155" s="11" t="s">
        <v>191</v>
      </c>
      <c r="D155" s="12">
        <v>3553</v>
      </c>
      <c r="E155" s="11">
        <v>2019</v>
      </c>
    </row>
    <row r="156" spans="2:5" hidden="1" x14ac:dyDescent="0.25">
      <c r="B156" s="13">
        <v>189</v>
      </c>
      <c r="C156" s="13" t="s">
        <v>192</v>
      </c>
      <c r="D156" s="10">
        <v>3470</v>
      </c>
      <c r="E156" s="13">
        <v>2019</v>
      </c>
    </row>
    <row r="157" spans="2:5" hidden="1" x14ac:dyDescent="0.25">
      <c r="B157" s="11">
        <v>191</v>
      </c>
      <c r="C157" s="11" t="s">
        <v>194</v>
      </c>
      <c r="D157" s="12">
        <v>3417</v>
      </c>
      <c r="E157" s="11">
        <v>2019</v>
      </c>
    </row>
    <row r="158" spans="2:5" hidden="1" x14ac:dyDescent="0.25">
      <c r="B158" s="13">
        <v>192</v>
      </c>
      <c r="C158" s="13" t="s">
        <v>195</v>
      </c>
      <c r="D158" s="10">
        <v>3395</v>
      </c>
      <c r="E158" s="13">
        <v>2019</v>
      </c>
    </row>
    <row r="159" spans="2:5" hidden="1" x14ac:dyDescent="0.25">
      <c r="B159" s="11">
        <v>193</v>
      </c>
      <c r="C159" s="11" t="s">
        <v>196</v>
      </c>
      <c r="D159" s="12">
        <v>3380</v>
      </c>
      <c r="E159" s="11">
        <v>2019</v>
      </c>
    </row>
    <row r="160" spans="2:5" hidden="1" x14ac:dyDescent="0.25">
      <c r="B160" s="13">
        <v>194</v>
      </c>
      <c r="C160" s="13" t="s">
        <v>197</v>
      </c>
      <c r="D160" s="10">
        <v>3287</v>
      </c>
      <c r="E160" s="13">
        <v>2019</v>
      </c>
    </row>
    <row r="161" spans="2:5" hidden="1" x14ac:dyDescent="0.25">
      <c r="B161" s="11">
        <v>195</v>
      </c>
      <c r="C161" s="11" t="s">
        <v>198</v>
      </c>
      <c r="D161" s="12">
        <v>3153</v>
      </c>
      <c r="E161" s="11">
        <v>2019</v>
      </c>
    </row>
    <row r="162" spans="2:5" hidden="1" x14ac:dyDescent="0.25">
      <c r="B162" s="13">
        <v>196</v>
      </c>
      <c r="C162" s="13" t="s">
        <v>199</v>
      </c>
      <c r="D162" s="10">
        <v>3060</v>
      </c>
      <c r="E162" s="13">
        <v>2019</v>
      </c>
    </row>
    <row r="163" spans="2:5" hidden="1" x14ac:dyDescent="0.25">
      <c r="B163" s="11">
        <v>197</v>
      </c>
      <c r="C163" s="11" t="s">
        <v>200</v>
      </c>
      <c r="D163" s="12">
        <v>2905</v>
      </c>
      <c r="E163" s="11">
        <v>2019</v>
      </c>
    </row>
    <row r="164" spans="2:5" hidden="1" x14ac:dyDescent="0.25">
      <c r="B164" s="13">
        <v>199</v>
      </c>
      <c r="C164" s="13" t="s">
        <v>202</v>
      </c>
      <c r="D164" s="10">
        <v>2836</v>
      </c>
      <c r="E164" s="13">
        <v>2019</v>
      </c>
    </row>
    <row r="165" spans="2:5" hidden="1" x14ac:dyDescent="0.25">
      <c r="B165" s="11">
        <v>200</v>
      </c>
      <c r="C165" s="11" t="s">
        <v>203</v>
      </c>
      <c r="D165" s="12">
        <v>2704</v>
      </c>
      <c r="E165" s="11">
        <v>2019</v>
      </c>
    </row>
    <row r="166" spans="2:5" hidden="1" x14ac:dyDescent="0.25">
      <c r="B166" s="13">
        <v>201</v>
      </c>
      <c r="C166" s="13" t="s">
        <v>204</v>
      </c>
      <c r="D166" s="10">
        <v>2663</v>
      </c>
      <c r="E166" s="13">
        <v>2019</v>
      </c>
    </row>
    <row r="167" spans="2:5" hidden="1" x14ac:dyDescent="0.25">
      <c r="B167" s="11">
        <v>202</v>
      </c>
      <c r="C167" s="11" t="s">
        <v>205</v>
      </c>
      <c r="D167" s="12">
        <v>2660</v>
      </c>
      <c r="E167" s="11">
        <v>2019</v>
      </c>
    </row>
    <row r="168" spans="2:5" hidden="1" x14ac:dyDescent="0.25">
      <c r="B168" s="13">
        <v>203</v>
      </c>
      <c r="C168" s="13" t="s">
        <v>206</v>
      </c>
      <c r="D168" s="10">
        <v>2562</v>
      </c>
      <c r="E168" s="13">
        <v>2019</v>
      </c>
    </row>
    <row r="169" spans="2:5" hidden="1" x14ac:dyDescent="0.25">
      <c r="B169" s="11">
        <v>205</v>
      </c>
      <c r="C169" s="11" t="s">
        <v>208</v>
      </c>
      <c r="D169" s="12">
        <v>2322</v>
      </c>
      <c r="E169" s="11">
        <v>2019</v>
      </c>
    </row>
    <row r="170" spans="2:5" hidden="1" x14ac:dyDescent="0.25">
      <c r="B170" s="13">
        <v>206</v>
      </c>
      <c r="C170" s="13" t="s">
        <v>209</v>
      </c>
      <c r="D170" s="10">
        <v>2272</v>
      </c>
      <c r="E170" s="13">
        <v>2019</v>
      </c>
    </row>
    <row r="171" spans="2:5" hidden="1" x14ac:dyDescent="0.25">
      <c r="B171" s="11">
        <v>207</v>
      </c>
      <c r="C171" s="11" t="s">
        <v>210</v>
      </c>
      <c r="D171" s="12">
        <v>2227</v>
      </c>
      <c r="E171" s="11">
        <v>2019</v>
      </c>
    </row>
    <row r="172" spans="2:5" hidden="1" x14ac:dyDescent="0.25">
      <c r="B172" s="13">
        <v>208</v>
      </c>
      <c r="C172" s="13" t="s">
        <v>211</v>
      </c>
      <c r="D172" s="10">
        <v>2223</v>
      </c>
      <c r="E172" s="13">
        <v>2019</v>
      </c>
    </row>
    <row r="173" spans="2:5" hidden="1" x14ac:dyDescent="0.25">
      <c r="B173" s="11">
        <v>209</v>
      </c>
      <c r="C173" s="11" t="s">
        <v>212</v>
      </c>
      <c r="D173" s="12">
        <v>2221</v>
      </c>
      <c r="E173" s="11">
        <v>2019</v>
      </c>
    </row>
    <row r="174" spans="2:5" hidden="1" x14ac:dyDescent="0.25">
      <c r="B174" s="13">
        <v>210</v>
      </c>
      <c r="C174" s="13" t="s">
        <v>213</v>
      </c>
      <c r="D174" s="10">
        <v>2187</v>
      </c>
      <c r="E174" s="13">
        <v>2019</v>
      </c>
    </row>
    <row r="175" spans="2:5" hidden="1" x14ac:dyDescent="0.25">
      <c r="B175" s="11">
        <v>211</v>
      </c>
      <c r="C175" s="11" t="s">
        <v>214</v>
      </c>
      <c r="D175" s="12">
        <v>2178</v>
      </c>
      <c r="E175" s="11">
        <v>2019</v>
      </c>
    </row>
    <row r="176" spans="2:5" hidden="1" x14ac:dyDescent="0.25">
      <c r="B176" s="13">
        <v>212</v>
      </c>
      <c r="C176" s="13" t="s">
        <v>215</v>
      </c>
      <c r="D176" s="10">
        <v>2065</v>
      </c>
      <c r="E176" s="13">
        <v>2019</v>
      </c>
    </row>
    <row r="177" spans="1:7" hidden="1" x14ac:dyDescent="0.25">
      <c r="B177" s="11">
        <v>213</v>
      </c>
      <c r="C177" s="11" t="s">
        <v>216</v>
      </c>
      <c r="D177" s="12">
        <v>1989</v>
      </c>
      <c r="E177" s="11">
        <v>2019</v>
      </c>
    </row>
    <row r="178" spans="1:7" hidden="1" x14ac:dyDescent="0.25">
      <c r="B178" s="13">
        <v>214</v>
      </c>
      <c r="C178" s="13" t="s">
        <v>217</v>
      </c>
      <c r="D178" s="10">
        <v>1718</v>
      </c>
      <c r="E178" s="13">
        <v>2019</v>
      </c>
    </row>
    <row r="179" spans="1:7" hidden="1" x14ac:dyDescent="0.25">
      <c r="B179" s="11">
        <v>216</v>
      </c>
      <c r="C179" s="11" t="s">
        <v>219</v>
      </c>
      <c r="D179" s="12">
        <v>1647</v>
      </c>
      <c r="E179" s="11">
        <v>2019</v>
      </c>
    </row>
    <row r="180" spans="1:7" hidden="1" x14ac:dyDescent="0.25">
      <c r="B180" s="13">
        <v>217</v>
      </c>
      <c r="C180" s="13" t="s">
        <v>220</v>
      </c>
      <c r="D180" s="10">
        <v>1600</v>
      </c>
      <c r="E180" s="13">
        <v>2019</v>
      </c>
    </row>
    <row r="181" spans="1:7" hidden="1" x14ac:dyDescent="0.25">
      <c r="B181" s="11">
        <v>219</v>
      </c>
      <c r="C181" s="11" t="s">
        <v>222</v>
      </c>
      <c r="D181" s="12">
        <v>1597</v>
      </c>
      <c r="E181" s="11">
        <v>2019</v>
      </c>
    </row>
    <row r="182" spans="1:7" hidden="1" x14ac:dyDescent="0.25">
      <c r="B182" s="13">
        <v>220</v>
      </c>
      <c r="C182" s="13" t="s">
        <v>223</v>
      </c>
      <c r="D182" s="10">
        <v>1580</v>
      </c>
      <c r="E182" s="13">
        <v>2019</v>
      </c>
    </row>
    <row r="183" spans="1:7" hidden="1" x14ac:dyDescent="0.25">
      <c r="B183" s="11">
        <v>221</v>
      </c>
      <c r="C183" s="11" t="s">
        <v>224</v>
      </c>
      <c r="D183" s="12">
        <v>1428</v>
      </c>
      <c r="E183" s="11">
        <v>2019</v>
      </c>
    </row>
    <row r="184" spans="1:7" hidden="1" x14ac:dyDescent="0.25">
      <c r="B184" s="13">
        <v>222</v>
      </c>
      <c r="C184" s="13" t="s">
        <v>225</v>
      </c>
      <c r="D184" s="10">
        <v>1281</v>
      </c>
      <c r="E184" s="13">
        <v>2019</v>
      </c>
    </row>
    <row r="185" spans="1:7" hidden="1" x14ac:dyDescent="0.25">
      <c r="B185" s="11">
        <v>223</v>
      </c>
      <c r="C185" s="11" t="s">
        <v>226</v>
      </c>
      <c r="D185" s="12">
        <v>1225</v>
      </c>
      <c r="E185" s="11">
        <v>2019</v>
      </c>
    </row>
    <row r="186" spans="1:7" hidden="1" x14ac:dyDescent="0.25">
      <c r="B186" s="13">
        <v>224</v>
      </c>
      <c r="C186" s="13" t="s">
        <v>227</v>
      </c>
      <c r="D186" s="10">
        <v>1098</v>
      </c>
      <c r="E186" s="13">
        <v>2019</v>
      </c>
    </row>
    <row r="187" spans="1:7" hidden="1" x14ac:dyDescent="0.25">
      <c r="B187" s="11">
        <v>225</v>
      </c>
      <c r="C187" s="11" t="s">
        <v>228</v>
      </c>
      <c r="D187" s="12">
        <v>1060</v>
      </c>
      <c r="E187" s="11">
        <v>2019</v>
      </c>
    </row>
    <row r="188" spans="1:7" hidden="1" x14ac:dyDescent="0.25">
      <c r="B188" s="13">
        <v>226</v>
      </c>
      <c r="C188" s="13" t="s">
        <v>229</v>
      </c>
      <c r="D188" s="10">
        <v>945</v>
      </c>
      <c r="E188" s="13">
        <v>2019</v>
      </c>
    </row>
    <row r="189" spans="1:7" hidden="1" x14ac:dyDescent="0.25">
      <c r="B189" s="17">
        <v>228</v>
      </c>
      <c r="C189" s="17" t="s">
        <v>231</v>
      </c>
      <c r="D189" s="18">
        <v>752</v>
      </c>
      <c r="E189" s="17">
        <v>2019</v>
      </c>
    </row>
    <row r="190" spans="1:7" x14ac:dyDescent="0.25">
      <c r="A190" s="20"/>
      <c r="B190" s="19"/>
      <c r="C190" s="19"/>
      <c r="D190" s="19"/>
      <c r="E190" s="19"/>
      <c r="F190" s="20"/>
      <c r="G190" s="20"/>
    </row>
    <row r="191" spans="1:7" x14ac:dyDescent="0.25">
      <c r="A191" s="20"/>
      <c r="B191" s="19"/>
      <c r="C191" s="19"/>
      <c r="D191" s="19"/>
      <c r="E191" s="19"/>
      <c r="F191" s="20"/>
      <c r="G191" s="20"/>
    </row>
    <row r="192" spans="1:7" x14ac:dyDescent="0.25">
      <c r="A192" s="20"/>
      <c r="B192" s="19"/>
      <c r="C192" s="19"/>
      <c r="D192" s="19"/>
      <c r="E192" s="19"/>
      <c r="F192" s="20"/>
      <c r="G192" s="20"/>
    </row>
    <row r="193" spans="1:7" x14ac:dyDescent="0.25">
      <c r="A193" s="20"/>
      <c r="B193" s="19"/>
      <c r="C193" s="19"/>
      <c r="D193" s="19"/>
      <c r="E193" s="19"/>
      <c r="F193" s="20"/>
      <c r="G193" s="20"/>
    </row>
    <row r="194" spans="1:7" x14ac:dyDescent="0.25">
      <c r="A194" s="20"/>
      <c r="B194" s="19"/>
      <c r="C194" s="19"/>
      <c r="D194" s="19"/>
      <c r="E194" s="19"/>
      <c r="F194" s="20"/>
      <c r="G194" s="20"/>
    </row>
    <row r="195" spans="1:7" x14ac:dyDescent="0.25">
      <c r="A195" s="20"/>
      <c r="B195" s="19"/>
      <c r="C195" s="19"/>
      <c r="D195" s="19"/>
      <c r="E195" s="19"/>
      <c r="F195" s="20"/>
      <c r="G195" s="20"/>
    </row>
    <row r="196" spans="1:7" x14ac:dyDescent="0.25">
      <c r="A196" s="20"/>
      <c r="B196" s="19"/>
      <c r="C196" s="19"/>
      <c r="D196" s="19"/>
      <c r="E196" s="19"/>
      <c r="F196" s="20"/>
      <c r="G196" s="20"/>
    </row>
    <row r="197" spans="1:7" x14ac:dyDescent="0.25">
      <c r="A197" s="20"/>
      <c r="B197" s="19"/>
      <c r="C197" s="19"/>
      <c r="D197" s="19"/>
      <c r="E197" s="19"/>
      <c r="F197" s="20"/>
      <c r="G197" s="20"/>
    </row>
    <row r="198" spans="1:7" x14ac:dyDescent="0.25">
      <c r="A198" s="20"/>
      <c r="B198" s="19"/>
      <c r="C198" s="19"/>
      <c r="D198" s="19"/>
      <c r="E198" s="19"/>
      <c r="F198" s="20"/>
      <c r="G198" s="20"/>
    </row>
    <row r="199" spans="1:7" x14ac:dyDescent="0.25">
      <c r="A199" s="20"/>
      <c r="B199" s="19"/>
      <c r="C199" s="19"/>
      <c r="D199" s="19"/>
      <c r="E199" s="19"/>
      <c r="F199" s="20"/>
      <c r="G199" s="20"/>
    </row>
    <row r="200" spans="1:7" x14ac:dyDescent="0.25">
      <c r="A200" s="20"/>
      <c r="B200" s="19"/>
      <c r="C200" s="19"/>
      <c r="D200" s="19"/>
      <c r="E200" s="19"/>
      <c r="F200" s="20"/>
      <c r="G200" s="20"/>
    </row>
    <row r="201" spans="1:7" x14ac:dyDescent="0.25">
      <c r="A201" s="20"/>
      <c r="B201" s="19"/>
      <c r="C201" s="19"/>
      <c r="D201" s="19"/>
      <c r="E201" s="19"/>
      <c r="F201" s="20"/>
      <c r="G201" s="20"/>
    </row>
    <row r="202" spans="1:7" x14ac:dyDescent="0.25">
      <c r="A202" s="20"/>
      <c r="B202" s="19"/>
      <c r="C202" s="19"/>
      <c r="D202" s="19"/>
      <c r="E202" s="19"/>
      <c r="F202" s="20"/>
      <c r="G202" s="20"/>
    </row>
    <row r="203" spans="1:7" x14ac:dyDescent="0.25">
      <c r="A203" s="20"/>
      <c r="B203" s="19"/>
      <c r="C203" s="19"/>
      <c r="D203" s="19"/>
      <c r="E203" s="19"/>
      <c r="F203" s="20"/>
      <c r="G203" s="20"/>
    </row>
    <row r="204" spans="1:7" x14ac:dyDescent="0.25">
      <c r="A204" s="20"/>
      <c r="B204" s="19"/>
      <c r="C204" s="19"/>
      <c r="D204" s="19"/>
      <c r="E204" s="19"/>
      <c r="F204" s="20"/>
      <c r="G204" s="20"/>
    </row>
    <row r="205" spans="1:7" x14ac:dyDescent="0.25">
      <c r="A205" s="20"/>
      <c r="B205" s="19"/>
      <c r="C205" s="19"/>
      <c r="D205" s="19"/>
      <c r="E205" s="19"/>
      <c r="F205" s="20"/>
      <c r="G205" s="20"/>
    </row>
    <row r="206" spans="1:7" x14ac:dyDescent="0.25">
      <c r="A206" s="20"/>
      <c r="B206" s="19"/>
      <c r="C206" s="19"/>
      <c r="D206" s="19"/>
      <c r="E206" s="19"/>
      <c r="F206" s="20"/>
      <c r="G206" s="20"/>
    </row>
    <row r="207" spans="1:7" x14ac:dyDescent="0.25">
      <c r="A207" s="20"/>
      <c r="B207" s="19"/>
      <c r="C207" s="19"/>
      <c r="D207" s="19"/>
      <c r="E207" s="19"/>
      <c r="F207" s="20"/>
      <c r="G207" s="20"/>
    </row>
    <row r="208" spans="1:7" x14ac:dyDescent="0.25">
      <c r="A208" s="20"/>
      <c r="B208" s="19"/>
      <c r="C208" s="19"/>
      <c r="D208" s="19"/>
      <c r="E208" s="19"/>
      <c r="F208" s="20"/>
      <c r="G208" s="20"/>
    </row>
    <row r="209" spans="1:7" x14ac:dyDescent="0.25">
      <c r="A209" s="20"/>
      <c r="B209" s="19"/>
      <c r="C209" s="19"/>
      <c r="D209" s="19"/>
      <c r="E209" s="19"/>
      <c r="F209" s="20"/>
      <c r="G209" s="20"/>
    </row>
    <row r="210" spans="1:7" x14ac:dyDescent="0.25">
      <c r="A210" s="20"/>
      <c r="B210" s="19"/>
      <c r="C210" s="19"/>
      <c r="D210" s="19"/>
      <c r="E210" s="19"/>
      <c r="F210" s="20"/>
      <c r="G210" s="20"/>
    </row>
    <row r="211" spans="1:7" x14ac:dyDescent="0.25">
      <c r="A211" s="20"/>
      <c r="B211" s="19"/>
      <c r="C211" s="19"/>
      <c r="D211" s="19"/>
      <c r="E211" s="19"/>
      <c r="F211" s="20"/>
      <c r="G211" s="20"/>
    </row>
    <row r="212" spans="1:7" x14ac:dyDescent="0.25">
      <c r="A212" s="20"/>
      <c r="B212" s="19"/>
      <c r="C212" s="19"/>
      <c r="D212" s="19"/>
      <c r="E212" s="19"/>
      <c r="F212" s="20"/>
      <c r="G212" s="20"/>
    </row>
    <row r="213" spans="1:7" x14ac:dyDescent="0.25">
      <c r="A213" s="20"/>
      <c r="B213" s="19"/>
      <c r="C213" s="19"/>
      <c r="D213" s="19"/>
      <c r="E213" s="19"/>
      <c r="F213" s="20"/>
      <c r="G213" s="20"/>
    </row>
    <row r="214" spans="1:7" x14ac:dyDescent="0.25">
      <c r="A214" s="20"/>
      <c r="B214" s="19"/>
      <c r="C214" s="19"/>
      <c r="D214" s="19"/>
      <c r="E214" s="19"/>
      <c r="F214" s="20"/>
      <c r="G214" s="20"/>
    </row>
    <row r="215" spans="1:7" x14ac:dyDescent="0.25">
      <c r="A215" s="20"/>
      <c r="B215" s="19"/>
      <c r="C215" s="19"/>
      <c r="D215" s="19"/>
      <c r="E215" s="19"/>
      <c r="F215" s="20"/>
      <c r="G215" s="20"/>
    </row>
    <row r="216" spans="1:7" x14ac:dyDescent="0.25">
      <c r="A216" s="20"/>
      <c r="B216" s="19"/>
      <c r="C216" s="19"/>
      <c r="D216" s="19"/>
      <c r="E216" s="19"/>
      <c r="F216" s="20"/>
      <c r="G216" s="20"/>
    </row>
    <row r="217" spans="1:7" x14ac:dyDescent="0.25">
      <c r="A217" s="20"/>
      <c r="F217" s="20"/>
      <c r="G217" s="20"/>
    </row>
    <row r="218" spans="1:7" x14ac:dyDescent="0.25">
      <c r="A218" s="20"/>
      <c r="F218" s="20"/>
      <c r="G218" s="20"/>
    </row>
    <row r="219" spans="1:7" x14ac:dyDescent="0.25">
      <c r="A219" s="20"/>
    </row>
    <row r="220" spans="1:7" x14ac:dyDescent="0.25">
      <c r="A2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int">
                <anchor moveWithCells="1" sizeWithCells="1">
                  <from>
                    <xdr:col>1</xdr:col>
                    <xdr:colOff>333375</xdr:colOff>
                    <xdr:row>212</xdr:row>
                    <xdr:rowOff>28575</xdr:rowOff>
                  </from>
                  <to>
                    <xdr:col>2</xdr:col>
                    <xdr:colOff>666750</xdr:colOff>
                    <xdr:row>214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">
                <anchor moveWithCells="1" sizeWithCells="1">
                  <from>
                    <xdr:col>3</xdr:col>
                    <xdr:colOff>9525</xdr:colOff>
                    <xdr:row>212</xdr:row>
                    <xdr:rowOff>19050</xdr:rowOff>
                  </from>
                  <to>
                    <xdr:col>3</xdr:col>
                    <xdr:colOff>838200</xdr:colOff>
                    <xdr:row>214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opyMacro">
                <anchor moveWithCells="1" sizeWithCells="1">
                  <from>
                    <xdr:col>4</xdr:col>
                    <xdr:colOff>485775</xdr:colOff>
                    <xdr:row>212</xdr:row>
                    <xdr:rowOff>0</xdr:rowOff>
                  </from>
                  <to>
                    <xdr:col>4</xdr:col>
                    <xdr:colOff>1304925</xdr:colOff>
                    <xdr:row>214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11"/>
  <sheetViews>
    <sheetView topLeftCell="A11" workbookViewId="0">
      <selection activeCell="J15" sqref="J15"/>
    </sheetView>
  </sheetViews>
  <sheetFormatPr defaultRowHeight="15" x14ac:dyDescent="0.25"/>
  <cols>
    <col min="1" max="1" width="7.42578125" customWidth="1"/>
    <col min="2" max="2" width="31.140625" bestFit="1" customWidth="1"/>
    <col min="3" max="3" width="23.7109375" customWidth="1"/>
    <col min="4" max="5" width="20.5703125" customWidth="1"/>
    <col min="6" max="6" width="22.7109375" bestFit="1" customWidth="1"/>
    <col min="8" max="8" width="11.7109375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  <c r="E1" s="1"/>
      <c r="H1" s="1" t="s">
        <v>446</v>
      </c>
      <c r="I1" s="38" t="s">
        <v>447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  <c r="F2" s="1" t="s">
        <v>433</v>
      </c>
      <c r="H2" t="s">
        <v>436</v>
      </c>
      <c r="I2" s="25">
        <v>80.5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  <c r="F3" s="22">
        <f>MEDIAN(C2:C16)</f>
        <v>83</v>
      </c>
      <c r="G3" s="28"/>
      <c r="H3" t="s">
        <v>437</v>
      </c>
      <c r="I3" s="25">
        <v>81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  <c r="G4" s="28"/>
      <c r="H4" t="s">
        <v>438</v>
      </c>
      <c r="I4" s="25">
        <v>81.5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  <c r="F5" s="1" t="s">
        <v>434</v>
      </c>
      <c r="G5" s="28"/>
      <c r="H5" t="s">
        <v>439</v>
      </c>
      <c r="I5" s="25">
        <v>82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  <c r="F6" s="22">
        <f>MEDIAN(C2:C16)</f>
        <v>83</v>
      </c>
      <c r="G6" s="28"/>
      <c r="H6" t="s">
        <v>440</v>
      </c>
      <c r="I6" s="25">
        <v>82.5</v>
      </c>
      <c r="L6" s="22"/>
    </row>
    <row r="7" spans="1:16" x14ac:dyDescent="0.25">
      <c r="A7">
        <v>6</v>
      </c>
      <c r="B7" t="s">
        <v>239</v>
      </c>
      <c r="C7" s="2">
        <v>83.4</v>
      </c>
      <c r="D7">
        <v>2020</v>
      </c>
      <c r="G7" s="28"/>
      <c r="H7" t="s">
        <v>441</v>
      </c>
      <c r="I7" s="25">
        <v>83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  <c r="F8" s="24" t="s">
        <v>435</v>
      </c>
      <c r="G8" s="28"/>
      <c r="H8" t="s">
        <v>442</v>
      </c>
      <c r="I8" s="25">
        <v>83.5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  <c r="F9" s="22">
        <f>MAX(C2:C16)-MIN(C2:C16)</f>
        <v>2.5</v>
      </c>
      <c r="G9" s="28"/>
      <c r="H9" t="s">
        <v>443</v>
      </c>
      <c r="I9" s="25">
        <v>84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F10" s="23"/>
      <c r="G10" s="28"/>
      <c r="H10" t="s">
        <v>444</v>
      </c>
      <c r="I10" s="25">
        <v>84.5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  <c r="F11" s="24" t="s">
        <v>450</v>
      </c>
      <c r="G11" s="28"/>
      <c r="H11" t="s">
        <v>445</v>
      </c>
      <c r="I11" s="25">
        <v>85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  <c r="F12" s="22">
        <f>_xlfn.STDEV.S(C2:C197)</f>
        <v>7.3055371178169475</v>
      </c>
      <c r="G12" s="28"/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  <c r="F14" s="22"/>
    </row>
    <row r="15" spans="1:16" x14ac:dyDescent="0.25">
      <c r="A15">
        <v>14</v>
      </c>
      <c r="B15" t="s">
        <v>247</v>
      </c>
      <c r="C15" s="2">
        <v>82.4</v>
      </c>
      <c r="D15">
        <v>2020</v>
      </c>
      <c r="F15" s="22"/>
    </row>
    <row r="16" spans="1:16" x14ac:dyDescent="0.25">
      <c r="A16">
        <v>15</v>
      </c>
      <c r="B16" t="s">
        <v>248</v>
      </c>
      <c r="C16" s="2">
        <v>82.4</v>
      </c>
      <c r="D16">
        <v>2020</v>
      </c>
      <c r="F16" s="23"/>
    </row>
    <row r="17" spans="1:4" hidden="1" x14ac:dyDescent="0.25">
      <c r="A17">
        <v>16</v>
      </c>
      <c r="B17" t="s">
        <v>249</v>
      </c>
      <c r="C17" s="2">
        <v>82.3</v>
      </c>
      <c r="D17">
        <v>2020</v>
      </c>
    </row>
    <row r="18" spans="1:4" hidden="1" x14ac:dyDescent="0.25">
      <c r="A18">
        <v>17</v>
      </c>
      <c r="B18" t="s">
        <v>250</v>
      </c>
      <c r="C18" s="2">
        <v>82.3</v>
      </c>
      <c r="D18">
        <v>2020</v>
      </c>
    </row>
    <row r="19" spans="1:4" hidden="1" x14ac:dyDescent="0.25">
      <c r="A19">
        <v>18</v>
      </c>
      <c r="B19" t="s">
        <v>251</v>
      </c>
      <c r="C19" s="2">
        <v>82.3</v>
      </c>
      <c r="D19">
        <v>2020</v>
      </c>
    </row>
    <row r="20" spans="1:4" hidden="1" x14ac:dyDescent="0.25">
      <c r="A20">
        <v>19</v>
      </c>
      <c r="B20" t="s">
        <v>252</v>
      </c>
      <c r="C20" s="2">
        <v>82.3</v>
      </c>
      <c r="D20">
        <v>2020</v>
      </c>
    </row>
    <row r="21" spans="1:4" hidden="1" x14ac:dyDescent="0.25">
      <c r="A21">
        <v>20</v>
      </c>
      <c r="B21" t="s">
        <v>253</v>
      </c>
      <c r="C21" s="2">
        <v>82.2</v>
      </c>
      <c r="D21">
        <v>2020</v>
      </c>
    </row>
    <row r="22" spans="1:4" hidden="1" x14ac:dyDescent="0.25">
      <c r="A22">
        <v>21</v>
      </c>
      <c r="B22" t="s">
        <v>254</v>
      </c>
      <c r="C22" s="2">
        <v>82.1</v>
      </c>
      <c r="D22">
        <v>2020</v>
      </c>
    </row>
    <row r="23" spans="1:4" hidden="1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hidden="1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hidden="1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hidden="1" x14ac:dyDescent="0.25">
      <c r="A26">
        <v>25</v>
      </c>
      <c r="B26" t="s">
        <v>258</v>
      </c>
      <c r="C26" s="2">
        <v>81.5</v>
      </c>
      <c r="D26">
        <v>2020</v>
      </c>
    </row>
    <row r="27" spans="1:4" hidden="1" x14ac:dyDescent="0.25">
      <c r="A27">
        <v>26</v>
      </c>
      <c r="B27" t="s">
        <v>259</v>
      </c>
      <c r="C27" s="2">
        <v>81.3</v>
      </c>
      <c r="D27">
        <v>2020</v>
      </c>
    </row>
    <row r="28" spans="1:4" hidden="1" x14ac:dyDescent="0.25">
      <c r="A28">
        <v>27</v>
      </c>
      <c r="B28" t="s">
        <v>260</v>
      </c>
      <c r="C28" s="2">
        <v>81.3</v>
      </c>
      <c r="D28">
        <v>2020</v>
      </c>
    </row>
    <row r="29" spans="1:4" hidden="1" x14ac:dyDescent="0.25">
      <c r="A29">
        <v>28</v>
      </c>
      <c r="B29" t="s">
        <v>261</v>
      </c>
      <c r="C29" s="2">
        <v>81.3</v>
      </c>
      <c r="D29">
        <v>2020</v>
      </c>
    </row>
    <row r="30" spans="1:4" hidden="1" x14ac:dyDescent="0.25">
      <c r="A30">
        <v>29</v>
      </c>
      <c r="B30" t="s">
        <v>262</v>
      </c>
      <c r="C30" s="2">
        <v>81</v>
      </c>
      <c r="D30">
        <v>2020</v>
      </c>
    </row>
    <row r="31" spans="1:4" hidden="1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hidden="1" x14ac:dyDescent="0.25">
      <c r="A32">
        <v>31</v>
      </c>
      <c r="B32" t="s">
        <v>264</v>
      </c>
      <c r="C32" s="2">
        <v>80.7</v>
      </c>
      <c r="D32">
        <v>2020</v>
      </c>
    </row>
    <row r="33" spans="1:4" hidden="1" x14ac:dyDescent="0.25">
      <c r="A33">
        <v>32</v>
      </c>
      <c r="B33" t="s">
        <v>265</v>
      </c>
      <c r="C33" s="2">
        <v>80.3</v>
      </c>
      <c r="D33">
        <v>2020</v>
      </c>
    </row>
    <row r="34" spans="1:4" hidden="1" x14ac:dyDescent="0.25">
      <c r="A34">
        <v>33</v>
      </c>
      <c r="B34" t="s">
        <v>266</v>
      </c>
      <c r="C34" s="2">
        <v>80.2</v>
      </c>
      <c r="D34">
        <v>2020</v>
      </c>
    </row>
    <row r="35" spans="1:4" hidden="1" x14ac:dyDescent="0.25">
      <c r="A35">
        <v>34</v>
      </c>
      <c r="B35" t="s">
        <v>267</v>
      </c>
      <c r="C35" s="2">
        <v>80.2</v>
      </c>
      <c r="D35">
        <v>2020</v>
      </c>
    </row>
    <row r="36" spans="1:4" hidden="1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hidden="1" x14ac:dyDescent="0.25">
      <c r="A37">
        <v>36</v>
      </c>
      <c r="B37" t="s">
        <v>269</v>
      </c>
      <c r="C37" s="2">
        <v>79.2</v>
      </c>
      <c r="D37">
        <v>2020</v>
      </c>
    </row>
    <row r="38" spans="1:4" hidden="1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hidden="1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hidden="1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hidden="1" x14ac:dyDescent="0.25">
      <c r="A41">
        <v>40</v>
      </c>
      <c r="B41" t="s">
        <v>273</v>
      </c>
      <c r="C41" s="2">
        <v>78.8</v>
      </c>
      <c r="D41">
        <v>2020</v>
      </c>
    </row>
    <row r="42" spans="1:4" hidden="1" x14ac:dyDescent="0.25">
      <c r="A42">
        <v>41</v>
      </c>
      <c r="B42" t="s">
        <v>274</v>
      </c>
      <c r="C42" s="2">
        <v>78.8</v>
      </c>
      <c r="D42">
        <v>2020</v>
      </c>
    </row>
    <row r="43" spans="1:4" hidden="1" x14ac:dyDescent="0.25">
      <c r="A43">
        <v>42</v>
      </c>
      <c r="B43" t="s">
        <v>275</v>
      </c>
      <c r="C43" s="2">
        <v>78.7</v>
      </c>
      <c r="D43">
        <v>2020</v>
      </c>
    </row>
    <row r="44" spans="1:4" hidden="1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hidden="1" x14ac:dyDescent="0.25">
      <c r="A45">
        <v>44</v>
      </c>
      <c r="B45" t="s">
        <v>277</v>
      </c>
      <c r="C45" s="2">
        <v>78.5</v>
      </c>
      <c r="D45">
        <v>2020</v>
      </c>
    </row>
    <row r="46" spans="1:4" hidden="1" x14ac:dyDescent="0.25">
      <c r="A46">
        <v>45</v>
      </c>
      <c r="B46" t="s">
        <v>278</v>
      </c>
      <c r="C46" s="2">
        <v>78.5</v>
      </c>
      <c r="D46">
        <v>2020</v>
      </c>
    </row>
    <row r="47" spans="1:4" hidden="1" x14ac:dyDescent="0.25">
      <c r="A47">
        <v>46</v>
      </c>
      <c r="B47" t="s">
        <v>279</v>
      </c>
      <c r="C47" s="2">
        <v>78.2</v>
      </c>
      <c r="D47">
        <v>2020</v>
      </c>
    </row>
    <row r="48" spans="1:4" hidden="1" x14ac:dyDescent="0.25">
      <c r="A48">
        <v>47</v>
      </c>
      <c r="B48" t="s">
        <v>280</v>
      </c>
      <c r="C48" s="2">
        <v>78</v>
      </c>
      <c r="D48">
        <v>2020</v>
      </c>
    </row>
    <row r="49" spans="1:4" hidden="1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hidden="1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hidden="1" x14ac:dyDescent="0.25">
      <c r="A51">
        <v>50</v>
      </c>
      <c r="B51" t="s">
        <v>283</v>
      </c>
      <c r="C51" s="2">
        <v>77.7</v>
      </c>
      <c r="D51">
        <v>2020</v>
      </c>
    </row>
    <row r="52" spans="1:4" hidden="1" x14ac:dyDescent="0.25">
      <c r="A52">
        <v>51</v>
      </c>
      <c r="B52" t="s">
        <v>284</v>
      </c>
      <c r="C52" s="2">
        <v>77.5</v>
      </c>
      <c r="D52">
        <v>2020</v>
      </c>
    </row>
    <row r="53" spans="1:4" hidden="1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hidden="1" x14ac:dyDescent="0.25">
      <c r="A54">
        <v>53</v>
      </c>
      <c r="B54" t="s">
        <v>286</v>
      </c>
      <c r="C54" s="2">
        <v>77.3</v>
      </c>
      <c r="D54">
        <v>2020</v>
      </c>
    </row>
    <row r="55" spans="1:4" hidden="1" x14ac:dyDescent="0.25">
      <c r="A55">
        <v>54</v>
      </c>
      <c r="B55" t="s">
        <v>287</v>
      </c>
      <c r="C55" s="2">
        <v>77.3</v>
      </c>
      <c r="D55">
        <v>2020</v>
      </c>
    </row>
    <row r="56" spans="1:4" hidden="1" x14ac:dyDescent="0.25">
      <c r="A56">
        <v>55</v>
      </c>
      <c r="B56" t="s">
        <v>288</v>
      </c>
      <c r="C56" s="2">
        <v>77.2</v>
      </c>
      <c r="D56">
        <v>2020</v>
      </c>
    </row>
    <row r="57" spans="1:4" hidden="1" x14ac:dyDescent="0.25">
      <c r="A57">
        <v>56</v>
      </c>
      <c r="B57" t="s">
        <v>289</v>
      </c>
      <c r="C57" s="2">
        <v>77</v>
      </c>
      <c r="D57">
        <v>2020</v>
      </c>
    </row>
    <row r="58" spans="1:4" hidden="1" x14ac:dyDescent="0.25">
      <c r="A58">
        <v>57</v>
      </c>
      <c r="B58" t="s">
        <v>290</v>
      </c>
      <c r="C58" s="2">
        <v>77</v>
      </c>
      <c r="D58">
        <v>2020</v>
      </c>
    </row>
    <row r="59" spans="1:4" hidden="1" x14ac:dyDescent="0.25">
      <c r="A59">
        <v>58</v>
      </c>
      <c r="B59" t="s">
        <v>291</v>
      </c>
      <c r="C59" s="2">
        <v>77</v>
      </c>
      <c r="D59">
        <v>2020</v>
      </c>
    </row>
    <row r="60" spans="1:4" hidden="1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hidden="1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hidden="1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hidden="1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hidden="1" x14ac:dyDescent="0.25">
      <c r="A64">
        <v>63</v>
      </c>
      <c r="B64" t="s">
        <v>296</v>
      </c>
      <c r="C64" s="2">
        <v>76.7</v>
      </c>
      <c r="D64">
        <v>2020</v>
      </c>
    </row>
    <row r="65" spans="1:4" hidden="1" x14ac:dyDescent="0.25">
      <c r="A65">
        <v>64</v>
      </c>
      <c r="B65" t="s">
        <v>297</v>
      </c>
      <c r="C65" s="2">
        <v>76.7</v>
      </c>
      <c r="D65">
        <v>2020</v>
      </c>
    </row>
    <row r="66" spans="1:4" hidden="1" x14ac:dyDescent="0.25">
      <c r="A66">
        <v>65</v>
      </c>
      <c r="B66" t="s">
        <v>298</v>
      </c>
      <c r="C66" s="2">
        <v>76.7</v>
      </c>
      <c r="D66">
        <v>2020</v>
      </c>
    </row>
    <row r="67" spans="1:4" hidden="1" x14ac:dyDescent="0.25">
      <c r="A67">
        <v>66</v>
      </c>
      <c r="B67" t="s">
        <v>299</v>
      </c>
      <c r="C67" s="2">
        <v>76.7</v>
      </c>
      <c r="D67">
        <v>2020</v>
      </c>
    </row>
    <row r="68" spans="1:4" hidden="1" x14ac:dyDescent="0.25">
      <c r="A68">
        <v>67</v>
      </c>
      <c r="B68" t="s">
        <v>300</v>
      </c>
      <c r="C68" s="2">
        <v>76.7</v>
      </c>
      <c r="D68">
        <v>2020</v>
      </c>
    </row>
    <row r="69" spans="1:4" hidden="1" x14ac:dyDescent="0.25">
      <c r="A69">
        <v>68</v>
      </c>
      <c r="B69" t="s">
        <v>301</v>
      </c>
      <c r="C69" s="2">
        <v>76.2</v>
      </c>
      <c r="D69">
        <v>2020</v>
      </c>
    </row>
    <row r="70" spans="1:4" hidden="1" x14ac:dyDescent="0.25">
      <c r="A70">
        <v>69</v>
      </c>
      <c r="B70" t="s">
        <v>302</v>
      </c>
      <c r="C70" s="2">
        <v>76.2</v>
      </c>
      <c r="D70">
        <v>2020</v>
      </c>
    </row>
    <row r="71" spans="1:4" hidden="1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hidden="1" x14ac:dyDescent="0.25">
      <c r="A72">
        <v>71</v>
      </c>
      <c r="B72" t="s">
        <v>304</v>
      </c>
      <c r="C72" s="2">
        <v>76</v>
      </c>
      <c r="D72">
        <v>2020</v>
      </c>
    </row>
    <row r="73" spans="1:4" hidden="1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hidden="1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hidden="1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hidden="1" x14ac:dyDescent="0.25">
      <c r="A76">
        <v>75</v>
      </c>
      <c r="B76" t="s">
        <v>308</v>
      </c>
      <c r="C76" s="2">
        <v>75.8</v>
      </c>
      <c r="D76">
        <v>2020</v>
      </c>
    </row>
    <row r="77" spans="1:4" hidden="1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hidden="1" x14ac:dyDescent="0.25">
      <c r="A78">
        <v>77</v>
      </c>
      <c r="B78" t="s">
        <v>310</v>
      </c>
      <c r="C78" s="2">
        <v>75.5</v>
      </c>
      <c r="D78">
        <v>2020</v>
      </c>
    </row>
    <row r="79" spans="1:4" hidden="1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hidden="1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hidden="1" x14ac:dyDescent="0.25">
      <c r="A81">
        <v>80</v>
      </c>
      <c r="B81" t="s">
        <v>313</v>
      </c>
      <c r="C81" s="2">
        <v>75.3</v>
      </c>
      <c r="D81">
        <v>2020</v>
      </c>
    </row>
    <row r="82" spans="1:4" hidden="1" x14ac:dyDescent="0.25">
      <c r="A82">
        <v>81</v>
      </c>
      <c r="B82" t="s">
        <v>314</v>
      </c>
      <c r="C82" s="2">
        <v>75.3</v>
      </c>
      <c r="D82">
        <v>2020</v>
      </c>
    </row>
    <row r="83" spans="1:4" hidden="1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hidden="1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hidden="1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hidden="1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hidden="1" x14ac:dyDescent="0.25">
      <c r="A87">
        <v>86</v>
      </c>
      <c r="B87" t="s">
        <v>319</v>
      </c>
      <c r="C87" s="2">
        <v>75</v>
      </c>
      <c r="D87">
        <v>2020</v>
      </c>
    </row>
    <row r="88" spans="1:4" hidden="1" x14ac:dyDescent="0.25">
      <c r="A88">
        <v>87</v>
      </c>
      <c r="B88" t="s">
        <v>320</v>
      </c>
      <c r="C88" s="2">
        <v>74.8</v>
      </c>
      <c r="D88">
        <v>2020</v>
      </c>
    </row>
    <row r="89" spans="1:4" hidden="1" x14ac:dyDescent="0.25">
      <c r="A89">
        <v>88</v>
      </c>
      <c r="B89" t="s">
        <v>321</v>
      </c>
      <c r="C89" s="2">
        <v>74.8</v>
      </c>
      <c r="D89">
        <v>2020</v>
      </c>
    </row>
    <row r="90" spans="1:4" hidden="1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hidden="1" x14ac:dyDescent="0.25">
      <c r="A91">
        <v>90</v>
      </c>
      <c r="B91" t="s">
        <v>323</v>
      </c>
      <c r="C91" s="2">
        <v>74.5</v>
      </c>
      <c r="D91">
        <v>2020</v>
      </c>
    </row>
    <row r="92" spans="1:4" hidden="1" x14ac:dyDescent="0.25">
      <c r="A92">
        <v>91</v>
      </c>
      <c r="B92" t="s">
        <v>324</v>
      </c>
      <c r="C92" s="2">
        <v>74.5</v>
      </c>
      <c r="D92">
        <v>2020</v>
      </c>
    </row>
    <row r="93" spans="1:4" hidden="1" x14ac:dyDescent="0.25">
      <c r="A93">
        <v>92</v>
      </c>
      <c r="B93" t="s">
        <v>325</v>
      </c>
      <c r="C93" s="2">
        <v>74.5</v>
      </c>
      <c r="D93">
        <v>2020</v>
      </c>
    </row>
    <row r="94" spans="1:4" hidden="1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hidden="1" x14ac:dyDescent="0.25">
      <c r="A95">
        <v>94</v>
      </c>
      <c r="B95" t="s">
        <v>327</v>
      </c>
      <c r="C95" s="2">
        <v>74.3</v>
      </c>
      <c r="D95">
        <v>2020</v>
      </c>
    </row>
    <row r="96" spans="1:4" hidden="1" x14ac:dyDescent="0.25">
      <c r="A96">
        <v>95</v>
      </c>
      <c r="B96" t="s">
        <v>328</v>
      </c>
      <c r="C96" s="2">
        <v>74.3</v>
      </c>
      <c r="D96">
        <v>2020</v>
      </c>
    </row>
    <row r="97" spans="1:4" hidden="1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hidden="1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hidden="1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hidden="1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hidden="1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hidden="1" x14ac:dyDescent="0.25">
      <c r="A102">
        <v>101</v>
      </c>
      <c r="B102" t="s">
        <v>334</v>
      </c>
      <c r="C102" s="2">
        <v>73.8</v>
      </c>
      <c r="D102">
        <v>2020</v>
      </c>
    </row>
    <row r="103" spans="1:4" hidden="1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hidden="1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hidden="1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hidden="1" x14ac:dyDescent="0.25">
      <c r="A106">
        <v>105</v>
      </c>
      <c r="B106" t="s">
        <v>338</v>
      </c>
      <c r="C106" s="2">
        <v>73.3</v>
      </c>
      <c r="D106">
        <v>2020</v>
      </c>
    </row>
    <row r="107" spans="1:4" hidden="1" x14ac:dyDescent="0.25">
      <c r="A107">
        <v>106</v>
      </c>
      <c r="B107" t="s">
        <v>339</v>
      </c>
      <c r="C107" s="2">
        <v>73.3</v>
      </c>
      <c r="D107">
        <v>2020</v>
      </c>
    </row>
    <row r="108" spans="1:4" hidden="1" x14ac:dyDescent="0.25">
      <c r="A108">
        <v>107</v>
      </c>
      <c r="B108" t="s">
        <v>340</v>
      </c>
      <c r="C108" s="2">
        <v>73</v>
      </c>
      <c r="D108">
        <v>2020</v>
      </c>
    </row>
    <row r="109" spans="1:4" hidden="1" x14ac:dyDescent="0.25">
      <c r="A109">
        <v>108</v>
      </c>
      <c r="B109" t="s">
        <v>341</v>
      </c>
      <c r="C109" s="2">
        <v>73</v>
      </c>
      <c r="D109">
        <v>2020</v>
      </c>
    </row>
    <row r="110" spans="1:4" hidden="1" x14ac:dyDescent="0.25">
      <c r="A110">
        <v>109</v>
      </c>
      <c r="B110" t="s">
        <v>342</v>
      </c>
      <c r="C110" s="2">
        <v>73</v>
      </c>
      <c r="D110">
        <v>2020</v>
      </c>
    </row>
    <row r="111" spans="1:4" hidden="1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hidden="1" x14ac:dyDescent="0.25">
      <c r="A112">
        <v>111</v>
      </c>
      <c r="B112" t="s">
        <v>104</v>
      </c>
      <c r="C112" s="2">
        <v>72.8</v>
      </c>
      <c r="D112">
        <v>2020</v>
      </c>
    </row>
    <row r="113" spans="1:4" hidden="1" x14ac:dyDescent="0.25">
      <c r="A113">
        <v>112</v>
      </c>
      <c r="B113" t="s">
        <v>344</v>
      </c>
      <c r="C113" s="2">
        <v>72.7</v>
      </c>
      <c r="D113">
        <v>2020</v>
      </c>
    </row>
    <row r="114" spans="1:4" hidden="1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hidden="1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hidden="1" x14ac:dyDescent="0.25">
      <c r="A116">
        <v>115</v>
      </c>
      <c r="B116" t="s">
        <v>347</v>
      </c>
      <c r="C116" s="2">
        <v>72.5</v>
      </c>
      <c r="D116">
        <v>2020</v>
      </c>
    </row>
    <row r="117" spans="1:4" hidden="1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hidden="1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hidden="1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hidden="1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hidden="1" x14ac:dyDescent="0.25">
      <c r="A121">
        <v>120</v>
      </c>
      <c r="B121" t="s">
        <v>352</v>
      </c>
      <c r="C121" s="2">
        <v>72</v>
      </c>
      <c r="D121">
        <v>2020</v>
      </c>
    </row>
    <row r="122" spans="1:4" hidden="1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hidden="1" x14ac:dyDescent="0.25">
      <c r="A123">
        <v>122</v>
      </c>
      <c r="B123" t="s">
        <v>354</v>
      </c>
      <c r="C123" s="2">
        <v>71.8</v>
      </c>
      <c r="D123">
        <v>2020</v>
      </c>
    </row>
    <row r="124" spans="1:4" hidden="1" x14ac:dyDescent="0.25">
      <c r="A124">
        <v>123</v>
      </c>
      <c r="B124" t="s">
        <v>355</v>
      </c>
      <c r="C124" s="2">
        <v>71.8</v>
      </c>
      <c r="D124">
        <v>2020</v>
      </c>
    </row>
    <row r="125" spans="1:4" hidden="1" x14ac:dyDescent="0.25">
      <c r="A125">
        <v>124</v>
      </c>
      <c r="B125" t="s">
        <v>356</v>
      </c>
      <c r="C125" s="2">
        <v>71.7</v>
      </c>
      <c r="D125">
        <v>2020</v>
      </c>
    </row>
    <row r="126" spans="1:4" hidden="1" x14ac:dyDescent="0.25">
      <c r="A126">
        <v>125</v>
      </c>
      <c r="B126" t="s">
        <v>357</v>
      </c>
      <c r="C126" s="2">
        <v>71.7</v>
      </c>
      <c r="D126">
        <v>2020</v>
      </c>
    </row>
    <row r="127" spans="1:4" hidden="1" x14ac:dyDescent="0.25">
      <c r="A127">
        <v>126</v>
      </c>
      <c r="B127" t="s">
        <v>358</v>
      </c>
      <c r="C127" s="2">
        <v>71.5</v>
      </c>
      <c r="D127">
        <v>2020</v>
      </c>
    </row>
    <row r="128" spans="1:4" hidden="1" x14ac:dyDescent="0.25">
      <c r="A128">
        <v>127</v>
      </c>
      <c r="B128" t="s">
        <v>359</v>
      </c>
      <c r="C128" s="2">
        <v>71.5</v>
      </c>
      <c r="D128">
        <v>2020</v>
      </c>
    </row>
    <row r="129" spans="1:4" hidden="1" x14ac:dyDescent="0.25">
      <c r="A129">
        <v>128</v>
      </c>
      <c r="B129" t="s">
        <v>360</v>
      </c>
      <c r="C129" s="2">
        <v>71.2</v>
      </c>
      <c r="D129">
        <v>2020</v>
      </c>
    </row>
    <row r="130" spans="1:4" hidden="1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hidden="1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hidden="1" x14ac:dyDescent="0.25">
      <c r="A132">
        <v>131</v>
      </c>
      <c r="B132" t="s">
        <v>363</v>
      </c>
      <c r="C132" s="2">
        <v>70.8</v>
      </c>
      <c r="D132">
        <v>2020</v>
      </c>
    </row>
    <row r="133" spans="1:4" hidden="1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hidden="1" x14ac:dyDescent="0.25">
      <c r="A134">
        <v>133</v>
      </c>
      <c r="B134" t="s">
        <v>365</v>
      </c>
      <c r="C134" s="2">
        <v>70.5</v>
      </c>
      <c r="D134">
        <v>2020</v>
      </c>
    </row>
    <row r="135" spans="1:4" hidden="1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hidden="1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hidden="1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hidden="1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hidden="1" x14ac:dyDescent="0.25">
      <c r="A139">
        <v>138</v>
      </c>
      <c r="B139" t="s">
        <v>370</v>
      </c>
      <c r="C139" s="2">
        <v>69.8</v>
      </c>
      <c r="D139">
        <v>2020</v>
      </c>
    </row>
    <row r="140" spans="1:4" hidden="1" x14ac:dyDescent="0.25">
      <c r="A140">
        <v>139</v>
      </c>
      <c r="B140" t="s">
        <v>371</v>
      </c>
      <c r="C140" s="2">
        <v>69.7</v>
      </c>
      <c r="D140">
        <v>2020</v>
      </c>
    </row>
    <row r="141" spans="1:4" hidden="1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hidden="1" x14ac:dyDescent="0.25">
      <c r="A142">
        <v>141</v>
      </c>
      <c r="B142" t="s">
        <v>373</v>
      </c>
      <c r="C142" s="2">
        <v>69.5</v>
      </c>
      <c r="D142">
        <v>2020</v>
      </c>
    </row>
    <row r="143" spans="1:4" hidden="1" x14ac:dyDescent="0.25">
      <c r="A143">
        <v>142</v>
      </c>
      <c r="B143" t="s">
        <v>374</v>
      </c>
      <c r="C143" s="2">
        <v>69</v>
      </c>
      <c r="D143">
        <v>2020</v>
      </c>
    </row>
    <row r="144" spans="1:4" hidden="1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hidden="1" x14ac:dyDescent="0.25">
      <c r="A145">
        <v>144</v>
      </c>
      <c r="B145" t="s">
        <v>376</v>
      </c>
      <c r="C145" s="2">
        <v>68.2</v>
      </c>
      <c r="D145">
        <v>2020</v>
      </c>
    </row>
    <row r="146" spans="1:4" hidden="1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hidden="1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hidden="1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hidden="1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hidden="1" x14ac:dyDescent="0.25">
      <c r="A150">
        <v>149</v>
      </c>
      <c r="B150" t="s">
        <v>381</v>
      </c>
      <c r="C150" s="2">
        <v>67.3</v>
      </c>
      <c r="D150">
        <v>2020</v>
      </c>
    </row>
    <row r="151" spans="1:4" hidden="1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hidden="1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hidden="1" x14ac:dyDescent="0.25">
      <c r="A153">
        <v>152</v>
      </c>
      <c r="B153" t="s">
        <v>384</v>
      </c>
      <c r="C153" s="2">
        <v>67</v>
      </c>
      <c r="D153">
        <v>2020</v>
      </c>
    </row>
    <row r="154" spans="1:4" hidden="1" x14ac:dyDescent="0.25">
      <c r="A154">
        <v>153</v>
      </c>
      <c r="B154" t="s">
        <v>385</v>
      </c>
      <c r="C154" s="2">
        <v>66.7</v>
      </c>
      <c r="D154">
        <v>2020</v>
      </c>
    </row>
    <row r="155" spans="1:4" hidden="1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hidden="1" x14ac:dyDescent="0.25">
      <c r="A156">
        <v>155</v>
      </c>
      <c r="B156" t="s">
        <v>387</v>
      </c>
      <c r="C156" s="2">
        <v>66.5</v>
      </c>
      <c r="D156">
        <v>2020</v>
      </c>
    </row>
    <row r="157" spans="1:4" hidden="1" x14ac:dyDescent="0.25">
      <c r="A157">
        <v>156</v>
      </c>
      <c r="B157" t="s">
        <v>388</v>
      </c>
      <c r="C157" s="2">
        <v>66.3</v>
      </c>
      <c r="D157">
        <v>2020</v>
      </c>
    </row>
    <row r="158" spans="1:4" hidden="1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hidden="1" x14ac:dyDescent="0.25">
      <c r="A159">
        <v>158</v>
      </c>
      <c r="B159" t="s">
        <v>390</v>
      </c>
      <c r="C159" s="2">
        <v>65.5</v>
      </c>
      <c r="D159">
        <v>2020</v>
      </c>
    </row>
    <row r="160" spans="1:4" hidden="1" x14ac:dyDescent="0.25">
      <c r="A160">
        <v>159</v>
      </c>
      <c r="B160" t="s">
        <v>391</v>
      </c>
      <c r="C160" s="2">
        <v>65.3</v>
      </c>
      <c r="D160">
        <v>2020</v>
      </c>
    </row>
    <row r="161" spans="1:4" hidden="1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hidden="1" x14ac:dyDescent="0.25">
      <c r="A162">
        <v>161</v>
      </c>
      <c r="B162" t="s">
        <v>393</v>
      </c>
      <c r="C162" s="2">
        <v>64.8</v>
      </c>
      <c r="D162">
        <v>2020</v>
      </c>
    </row>
    <row r="163" spans="1:4" hidden="1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hidden="1" x14ac:dyDescent="0.25">
      <c r="A164">
        <v>163</v>
      </c>
      <c r="B164" t="s">
        <v>395</v>
      </c>
      <c r="C164" s="2">
        <v>64.5</v>
      </c>
      <c r="D164">
        <v>2020</v>
      </c>
    </row>
    <row r="165" spans="1:4" hidden="1" x14ac:dyDescent="0.25">
      <c r="A165">
        <v>164</v>
      </c>
      <c r="B165" t="s">
        <v>396</v>
      </c>
      <c r="C165" s="2">
        <v>64.3</v>
      </c>
      <c r="D165">
        <v>2020</v>
      </c>
    </row>
    <row r="166" spans="1:4" hidden="1" x14ac:dyDescent="0.25">
      <c r="A166">
        <v>165</v>
      </c>
      <c r="B166" t="s">
        <v>397</v>
      </c>
      <c r="C166" s="2">
        <v>64.3</v>
      </c>
      <c r="D166">
        <v>2020</v>
      </c>
    </row>
    <row r="167" spans="1:4" hidden="1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hidden="1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hidden="1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hidden="1" x14ac:dyDescent="0.25">
      <c r="A170">
        <v>169</v>
      </c>
      <c r="B170" t="s">
        <v>401</v>
      </c>
      <c r="C170" s="2">
        <v>64</v>
      </c>
      <c r="D170">
        <v>2020</v>
      </c>
    </row>
    <row r="171" spans="1:4" hidden="1" x14ac:dyDescent="0.25">
      <c r="A171">
        <v>170</v>
      </c>
      <c r="B171" t="s">
        <v>402</v>
      </c>
      <c r="C171" s="2">
        <v>63.9</v>
      </c>
      <c r="D171">
        <v>2020</v>
      </c>
    </row>
    <row r="172" spans="1:4" hidden="1" x14ac:dyDescent="0.25">
      <c r="A172">
        <v>171</v>
      </c>
      <c r="B172" t="s">
        <v>403</v>
      </c>
      <c r="C172" s="2">
        <v>63.7</v>
      </c>
      <c r="D172">
        <v>2020</v>
      </c>
    </row>
    <row r="173" spans="1:4" hidden="1" x14ac:dyDescent="0.25">
      <c r="A173">
        <v>172</v>
      </c>
      <c r="B173" t="s">
        <v>404</v>
      </c>
      <c r="C173" s="2">
        <v>63.4</v>
      </c>
      <c r="D173">
        <v>2020</v>
      </c>
    </row>
    <row r="174" spans="1:4" hidden="1" x14ac:dyDescent="0.25">
      <c r="A174">
        <v>173</v>
      </c>
      <c r="B174" t="s">
        <v>405</v>
      </c>
      <c r="C174" s="2">
        <v>62.4</v>
      </c>
      <c r="D174">
        <v>2020</v>
      </c>
    </row>
    <row r="175" spans="1:4" hidden="1" x14ac:dyDescent="0.25">
      <c r="A175">
        <v>174</v>
      </c>
      <c r="B175" t="s">
        <v>406</v>
      </c>
      <c r="C175" s="2">
        <v>62.1</v>
      </c>
      <c r="D175">
        <v>2020</v>
      </c>
    </row>
    <row r="176" spans="1:4" hidden="1" x14ac:dyDescent="0.25">
      <c r="A176">
        <v>175</v>
      </c>
      <c r="B176" t="s">
        <v>407</v>
      </c>
      <c r="C176" s="2">
        <v>61.8</v>
      </c>
      <c r="D176">
        <v>2020</v>
      </c>
    </row>
    <row r="177" spans="1:4" hidden="1" x14ac:dyDescent="0.25">
      <c r="A177">
        <v>176</v>
      </c>
      <c r="B177" t="s">
        <v>408</v>
      </c>
      <c r="C177" s="2">
        <v>61.6</v>
      </c>
      <c r="D177">
        <v>2020</v>
      </c>
    </row>
    <row r="178" spans="1:4" hidden="1" x14ac:dyDescent="0.25">
      <c r="A178">
        <v>177</v>
      </c>
      <c r="B178" t="s">
        <v>409</v>
      </c>
      <c r="C178" s="2">
        <v>61.6</v>
      </c>
      <c r="D178">
        <v>2020</v>
      </c>
    </row>
    <row r="179" spans="1:4" hidden="1" x14ac:dyDescent="0.25">
      <c r="A179">
        <v>178</v>
      </c>
      <c r="B179" t="s">
        <v>410</v>
      </c>
      <c r="C179" s="2">
        <v>61.6</v>
      </c>
      <c r="D179">
        <v>2020</v>
      </c>
    </row>
    <row r="180" spans="1:4" hidden="1" x14ac:dyDescent="0.25">
      <c r="A180">
        <v>179</v>
      </c>
      <c r="B180" t="s">
        <v>411</v>
      </c>
      <c r="C180" s="2">
        <v>61.5</v>
      </c>
      <c r="D180">
        <v>2020</v>
      </c>
    </row>
    <row r="181" spans="1:4" hidden="1" x14ac:dyDescent="0.25">
      <c r="A181">
        <v>180</v>
      </c>
      <c r="B181" t="s">
        <v>412</v>
      </c>
      <c r="C181" s="2">
        <v>61.5</v>
      </c>
      <c r="D181">
        <v>2020</v>
      </c>
    </row>
    <row r="182" spans="1:4" hidden="1" x14ac:dyDescent="0.25">
      <c r="A182">
        <v>181</v>
      </c>
      <c r="B182" t="s">
        <v>413</v>
      </c>
      <c r="C182" s="2">
        <v>61.2</v>
      </c>
      <c r="D182">
        <v>2020</v>
      </c>
    </row>
    <row r="183" spans="1:4" hidden="1" x14ac:dyDescent="0.25">
      <c r="A183">
        <v>182</v>
      </c>
      <c r="B183" t="s">
        <v>414</v>
      </c>
      <c r="C183" s="2">
        <v>61</v>
      </c>
      <c r="D183">
        <v>2020</v>
      </c>
    </row>
    <row r="184" spans="1:4" hidden="1" x14ac:dyDescent="0.25">
      <c r="A184">
        <v>183</v>
      </c>
      <c r="B184" t="s">
        <v>415</v>
      </c>
      <c r="C184" s="2">
        <v>60.9</v>
      </c>
      <c r="D184">
        <v>2020</v>
      </c>
    </row>
    <row r="185" spans="1:4" hidden="1" x14ac:dyDescent="0.25">
      <c r="A185">
        <v>184</v>
      </c>
      <c r="B185" t="s">
        <v>416</v>
      </c>
      <c r="C185" s="2">
        <v>60.7</v>
      </c>
      <c r="D185">
        <v>2020</v>
      </c>
    </row>
    <row r="186" spans="1:4" hidden="1" x14ac:dyDescent="0.25">
      <c r="A186">
        <v>185</v>
      </c>
      <c r="B186" t="s">
        <v>417</v>
      </c>
      <c r="C186" s="2">
        <v>60.2</v>
      </c>
      <c r="D186">
        <v>2020</v>
      </c>
    </row>
    <row r="187" spans="1:4" hidden="1" x14ac:dyDescent="0.25">
      <c r="A187">
        <v>186</v>
      </c>
      <c r="B187" t="s">
        <v>418</v>
      </c>
      <c r="C187" s="2">
        <v>59.3</v>
      </c>
      <c r="D187">
        <v>2020</v>
      </c>
    </row>
    <row r="188" spans="1:4" hidden="1" x14ac:dyDescent="0.25">
      <c r="A188">
        <v>187</v>
      </c>
      <c r="B188" t="s">
        <v>419</v>
      </c>
      <c r="C188" s="2">
        <v>59.3</v>
      </c>
      <c r="D188">
        <v>2020</v>
      </c>
    </row>
    <row r="189" spans="1:4" hidden="1" x14ac:dyDescent="0.25">
      <c r="A189">
        <v>188</v>
      </c>
      <c r="B189" t="s">
        <v>420</v>
      </c>
      <c r="C189" s="2">
        <v>58.7</v>
      </c>
      <c r="D189">
        <v>2020</v>
      </c>
    </row>
    <row r="190" spans="1:4" hidden="1" x14ac:dyDescent="0.25">
      <c r="A190">
        <v>189</v>
      </c>
      <c r="B190" t="s">
        <v>421</v>
      </c>
      <c r="C190" s="2">
        <v>58.3</v>
      </c>
      <c r="D190">
        <v>2020</v>
      </c>
    </row>
    <row r="191" spans="1:4" hidden="1" x14ac:dyDescent="0.25">
      <c r="A191">
        <v>190</v>
      </c>
      <c r="B191" t="s">
        <v>422</v>
      </c>
      <c r="C191" s="2">
        <v>57.9</v>
      </c>
      <c r="D191">
        <v>2020</v>
      </c>
    </row>
    <row r="192" spans="1:4" hidden="1" x14ac:dyDescent="0.25">
      <c r="A192">
        <v>191</v>
      </c>
      <c r="B192" t="s">
        <v>423</v>
      </c>
      <c r="C192" s="2">
        <v>57.8</v>
      </c>
      <c r="D192">
        <v>2020</v>
      </c>
    </row>
    <row r="193" spans="1:4" hidden="1" x14ac:dyDescent="0.25">
      <c r="A193">
        <v>192</v>
      </c>
      <c r="B193" t="s">
        <v>424</v>
      </c>
      <c r="C193" s="2">
        <v>54.7</v>
      </c>
      <c r="D193">
        <v>2020</v>
      </c>
    </row>
    <row r="194" spans="1:4" hidden="1" x14ac:dyDescent="0.25">
      <c r="A194">
        <v>193</v>
      </c>
      <c r="B194" t="s">
        <v>425</v>
      </c>
      <c r="C194" s="2">
        <v>54.7</v>
      </c>
      <c r="D194">
        <v>2020</v>
      </c>
    </row>
    <row r="195" spans="1:4" hidden="1" x14ac:dyDescent="0.25">
      <c r="A195">
        <v>194</v>
      </c>
      <c r="B195" t="s">
        <v>426</v>
      </c>
      <c r="C195" s="2">
        <v>54.3</v>
      </c>
      <c r="D195">
        <v>2020</v>
      </c>
    </row>
    <row r="196" spans="1:4" hidden="1" x14ac:dyDescent="0.25">
      <c r="A196">
        <v>195</v>
      </c>
      <c r="B196" t="s">
        <v>427</v>
      </c>
      <c r="C196" s="2">
        <v>54.2</v>
      </c>
      <c r="D196">
        <v>2020</v>
      </c>
    </row>
    <row r="197" spans="1:4" hidden="1" x14ac:dyDescent="0.25">
      <c r="A197">
        <v>196</v>
      </c>
      <c r="B197" t="s">
        <v>428</v>
      </c>
      <c r="C197" s="2">
        <v>53.3</v>
      </c>
      <c r="D197">
        <v>2020</v>
      </c>
    </row>
    <row r="199" spans="1:4" ht="15.75" thickBot="1" x14ac:dyDescent="0.3"/>
    <row r="200" spans="1:4" x14ac:dyDescent="0.25">
      <c r="C200" s="31" t="s">
        <v>447</v>
      </c>
      <c r="D200" s="31" t="s">
        <v>449</v>
      </c>
    </row>
    <row r="201" spans="1:4" x14ac:dyDescent="0.25">
      <c r="C201" t="s">
        <v>436</v>
      </c>
      <c r="D201" s="29">
        <v>0</v>
      </c>
    </row>
    <row r="202" spans="1:4" x14ac:dyDescent="0.25">
      <c r="C202" t="s">
        <v>437</v>
      </c>
      <c r="D202" s="29">
        <v>0</v>
      </c>
    </row>
    <row r="203" spans="1:4" x14ac:dyDescent="0.25">
      <c r="C203" t="s">
        <v>438</v>
      </c>
      <c r="D203" s="29">
        <v>0</v>
      </c>
    </row>
    <row r="204" spans="1:4" x14ac:dyDescent="0.25">
      <c r="C204" t="s">
        <v>439</v>
      </c>
      <c r="D204" s="29">
        <v>0</v>
      </c>
    </row>
    <row r="205" spans="1:4" x14ac:dyDescent="0.25">
      <c r="C205" t="s">
        <v>440</v>
      </c>
      <c r="D205" s="29">
        <v>3</v>
      </c>
    </row>
    <row r="206" spans="1:4" x14ac:dyDescent="0.25">
      <c r="C206" t="s">
        <v>441</v>
      </c>
      <c r="D206" s="29">
        <v>5</v>
      </c>
    </row>
    <row r="207" spans="1:4" x14ac:dyDescent="0.25">
      <c r="C207" t="s">
        <v>442</v>
      </c>
      <c r="D207" s="29">
        <v>3</v>
      </c>
    </row>
    <row r="208" spans="1:4" x14ac:dyDescent="0.25">
      <c r="C208" t="s">
        <v>443</v>
      </c>
      <c r="D208" s="29">
        <v>2</v>
      </c>
    </row>
    <row r="209" spans="3:4" x14ac:dyDescent="0.25">
      <c r="C209" t="s">
        <v>444</v>
      </c>
      <c r="D209" s="29">
        <v>0</v>
      </c>
    </row>
    <row r="210" spans="3:4" x14ac:dyDescent="0.25">
      <c r="C210" t="s">
        <v>445</v>
      </c>
      <c r="D210" s="29">
        <v>2</v>
      </c>
    </row>
    <row r="211" spans="3:4" ht="15.75" thickBot="1" x14ac:dyDescent="0.3">
      <c r="C211" s="30" t="s">
        <v>448</v>
      </c>
      <c r="D211" s="30">
        <v>0</v>
      </c>
    </row>
  </sheetData>
  <sortState ref="C201:C210">
    <sortCondition ref="C201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5"/>
  <sheetViews>
    <sheetView workbookViewId="0">
      <selection activeCell="D15" sqref="D15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ref="A2:D75">
    <sortCondition descending="1" ref="C2:C7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01"/>
  <sheetViews>
    <sheetView tabSelected="1" topLeftCell="M1" workbookViewId="0">
      <selection activeCell="O77" sqref="O77"/>
    </sheetView>
  </sheetViews>
  <sheetFormatPr defaultRowHeight="15" x14ac:dyDescent="0.25"/>
  <cols>
    <col min="1" max="1" width="29.7109375" bestFit="1" customWidth="1"/>
    <col min="2" max="2" width="7.42578125" customWidth="1"/>
    <col min="3" max="3" width="22.5703125" customWidth="1"/>
    <col min="4" max="4" width="20.42578125" customWidth="1"/>
    <col min="7" max="7" width="9.140625" style="42"/>
    <col min="8" max="8" width="16.5703125" customWidth="1"/>
    <col min="9" max="9" width="24.28515625" style="40" customWidth="1"/>
    <col min="10" max="10" width="21" bestFit="1" customWidth="1"/>
    <col min="11" max="11" width="23" bestFit="1" customWidth="1"/>
    <col min="12" max="12" width="12.85546875" customWidth="1"/>
    <col min="13" max="13" width="15.42578125" customWidth="1"/>
    <col min="14" max="14" width="15.5703125" customWidth="1"/>
  </cols>
  <sheetData>
    <row r="1" spans="1:14" x14ac:dyDescent="0.25">
      <c r="A1" s="15" t="s">
        <v>1</v>
      </c>
      <c r="B1" s="33" t="s">
        <v>0</v>
      </c>
      <c r="C1" s="16" t="s">
        <v>2</v>
      </c>
      <c r="D1" s="15" t="s">
        <v>3</v>
      </c>
      <c r="E1" s="21" t="s">
        <v>451</v>
      </c>
      <c r="G1" s="41" t="s">
        <v>0</v>
      </c>
      <c r="H1" s="1" t="s">
        <v>1</v>
      </c>
      <c r="I1" s="39" t="s">
        <v>232</v>
      </c>
      <c r="J1" s="1" t="s">
        <v>233</v>
      </c>
      <c r="K1" s="37" t="s">
        <v>2</v>
      </c>
      <c r="L1" s="1" t="s">
        <v>453</v>
      </c>
      <c r="M1" s="1" t="s">
        <v>457</v>
      </c>
      <c r="N1" s="1" t="s">
        <v>458</v>
      </c>
    </row>
    <row r="2" spans="1:14" x14ac:dyDescent="0.25">
      <c r="A2" s="13" t="s">
        <v>215</v>
      </c>
      <c r="B2" s="27">
        <v>212</v>
      </c>
      <c r="C2" s="10">
        <v>2065</v>
      </c>
      <c r="D2" s="13">
        <v>2019</v>
      </c>
      <c r="G2" s="42">
        <v>1</v>
      </c>
      <c r="H2" t="s">
        <v>234</v>
      </c>
      <c r="I2" s="43">
        <v>84.9</v>
      </c>
      <c r="J2">
        <v>2020</v>
      </c>
      <c r="K2">
        <f>IFERROR(VLOOKUP("*"&amp;Table38[[#This Row],[Country]]&amp;"*",Table6[],3,FALSE),0)</f>
        <v>59848</v>
      </c>
      <c r="L2">
        <f>CORREL(Table38[Life expectancy at birth],Table38[GDP - per capita (PPP)])</f>
        <v>0.66243787801142506</v>
      </c>
      <c r="M2" s="44">
        <f>(Table38[[#This Row],[Life expectancy at birth]]-$I$199)/$I$201</f>
        <v>1</v>
      </c>
      <c r="N2" s="28">
        <f>(Table38[[#This Row],[GDP - per capita (PPP)]]-$K$199)/$K$201</f>
        <v>0.61482828407351475</v>
      </c>
    </row>
    <row r="3" spans="1:14" x14ac:dyDescent="0.25">
      <c r="A3" s="13" t="s">
        <v>122</v>
      </c>
      <c r="B3" s="27">
        <v>119</v>
      </c>
      <c r="C3" s="10">
        <v>13965</v>
      </c>
      <c r="D3" s="13">
        <v>2019</v>
      </c>
      <c r="G3" s="42">
        <v>2</v>
      </c>
      <c r="H3" t="s">
        <v>235</v>
      </c>
      <c r="I3" s="43">
        <v>84.6</v>
      </c>
      <c r="J3">
        <v>2020</v>
      </c>
      <c r="K3">
        <f>IFERROR(VLOOKUP("*"&amp;Table38[[#This Row],[Country]]&amp;"*",Table6[],3,FALSE),0)</f>
        <v>41429</v>
      </c>
      <c r="L3">
        <f>CORREL(Table38[Life expectancy at birth],Table38[GDP - per capita (PPP)])</f>
        <v>0.66243787801142506</v>
      </c>
      <c r="M3">
        <f>(Table38[[#This Row],[Life expectancy at birth]]-$I$199)/$I$201</f>
        <v>0.99050632911392367</v>
      </c>
      <c r="N3" s="28">
        <f>(Table38[[#This Row],[GDP - per capita (PPP)]]-$K$199)/$K$201</f>
        <v>0.42560688712875355</v>
      </c>
    </row>
    <row r="4" spans="1:14" x14ac:dyDescent="0.25">
      <c r="A4" s="13" t="s">
        <v>142</v>
      </c>
      <c r="B4" s="27">
        <v>139</v>
      </c>
      <c r="C4" s="10">
        <v>11511</v>
      </c>
      <c r="D4" s="13">
        <v>2019</v>
      </c>
      <c r="G4" s="42">
        <v>3</v>
      </c>
      <c r="H4" t="s">
        <v>236</v>
      </c>
      <c r="I4" s="43">
        <v>83.8</v>
      </c>
      <c r="J4">
        <v>2020</v>
      </c>
      <c r="K4">
        <f>IFERROR(VLOOKUP("*"&amp;Table38[[#This Row],[Country]]&amp;"*",Table6[],3,FALSE),0)</f>
        <v>68628</v>
      </c>
      <c r="L4">
        <f>CORREL(Table38[Life expectancy at birth],Table38[GDP - per capita (PPP)])</f>
        <v>0.66243787801142506</v>
      </c>
      <c r="M4">
        <f>(Table38[[#This Row],[Life expectancy at birth]]-$I$199)/$I$201</f>
        <v>0.96518987341772122</v>
      </c>
      <c r="N4" s="28">
        <f>(Table38[[#This Row],[GDP - per capita (PPP)]]-$K$199)/$K$201</f>
        <v>0.70502665885906246</v>
      </c>
    </row>
    <row r="5" spans="1:14" x14ac:dyDescent="0.25">
      <c r="A5" s="13" t="s">
        <v>164</v>
      </c>
      <c r="B5" s="27">
        <v>161</v>
      </c>
      <c r="C5" s="10">
        <v>6670</v>
      </c>
      <c r="D5" s="13">
        <v>2019</v>
      </c>
      <c r="G5" s="42">
        <v>4</v>
      </c>
      <c r="H5" t="s">
        <v>237</v>
      </c>
      <c r="I5" s="43">
        <v>83.6</v>
      </c>
      <c r="J5">
        <v>2020</v>
      </c>
      <c r="K5">
        <f>IFERROR(VLOOKUP("*"&amp;Table38[[#This Row],[Country]]&amp;"*",Table6[],3,FALSE),0)</f>
        <v>97341</v>
      </c>
      <c r="L5">
        <f>CORREL(Table38[Life expectancy at birth],Table38[GDP - per capita (PPP)])</f>
        <v>0.66243787801142506</v>
      </c>
      <c r="M5">
        <f>(Table38[[#This Row],[Life expectancy at birth]]-$I$199)/$I$201</f>
        <v>0.95886075949367056</v>
      </c>
      <c r="N5" s="28">
        <f>(Table38[[#This Row],[GDP - per capita (PPP)]]-$K$199)/$K$201</f>
        <v>1</v>
      </c>
    </row>
    <row r="6" spans="1:14" x14ac:dyDescent="0.25">
      <c r="A6" s="11" t="s">
        <v>90</v>
      </c>
      <c r="B6" s="26">
        <v>87</v>
      </c>
      <c r="C6" s="12">
        <v>21910</v>
      </c>
      <c r="D6" s="11">
        <v>2019</v>
      </c>
      <c r="G6" s="42">
        <v>5</v>
      </c>
      <c r="H6" t="s">
        <v>238</v>
      </c>
      <c r="I6" s="43">
        <v>83.5</v>
      </c>
      <c r="J6">
        <v>2020</v>
      </c>
      <c r="K6">
        <f>IFERROR(VLOOKUP("*"&amp;Table38[[#This Row],[Country]]&amp;"*",Table6[],3,FALSE),0)</f>
        <v>40903</v>
      </c>
      <c r="L6">
        <f>CORREL(Table38[Life expectancy at birth],Table38[GDP - per capita (PPP)])</f>
        <v>0.66243787801142506</v>
      </c>
      <c r="M6">
        <f>(Table38[[#This Row],[Life expectancy at birth]]-$I$199)/$I$201</f>
        <v>0.95569620253164544</v>
      </c>
      <c r="N6" s="28">
        <f>(Table38[[#This Row],[GDP - per capita (PPP)]]-$K$199)/$K$201</f>
        <v>0.42020320317235288</v>
      </c>
    </row>
    <row r="7" spans="1:14" x14ac:dyDescent="0.25">
      <c r="A7" s="13" t="s">
        <v>89</v>
      </c>
      <c r="B7" s="27">
        <v>86</v>
      </c>
      <c r="C7" s="10">
        <v>22064</v>
      </c>
      <c r="D7" s="13">
        <v>2019</v>
      </c>
      <c r="G7" s="42">
        <v>6</v>
      </c>
      <c r="H7" t="s">
        <v>239</v>
      </c>
      <c r="I7" s="43">
        <v>83.4</v>
      </c>
      <c r="J7">
        <v>2020</v>
      </c>
      <c r="K7">
        <f>IFERROR(VLOOKUP("*"&amp;Table38[[#This Row],[Country]]&amp;"*",Table6[],3,FALSE),0)</f>
        <v>42492</v>
      </c>
      <c r="L7">
        <f>CORREL(Table38[Life expectancy at birth],Table38[GDP - per capita (PPP)])</f>
        <v>0.66243787801142506</v>
      </c>
      <c r="M7">
        <f>(Table38[[#This Row],[Life expectancy at birth]]-$I$199)/$I$201</f>
        <v>0.95253164556962022</v>
      </c>
      <c r="N7" s="28">
        <f>(Table38[[#This Row],[GDP - per capita (PPP)]]-$K$199)/$K$201</f>
        <v>0.43652725983912227</v>
      </c>
    </row>
    <row r="8" spans="1:14" x14ac:dyDescent="0.25">
      <c r="A8" s="13" t="s">
        <v>124</v>
      </c>
      <c r="B8" s="27">
        <v>121</v>
      </c>
      <c r="C8" s="10">
        <v>13654</v>
      </c>
      <c r="D8" s="13">
        <v>2019</v>
      </c>
      <c r="G8" s="42">
        <v>7</v>
      </c>
      <c r="H8" t="s">
        <v>240</v>
      </c>
      <c r="I8" s="43">
        <v>83.4</v>
      </c>
      <c r="J8">
        <v>2020</v>
      </c>
      <c r="K8">
        <f>IFERROR(VLOOKUP("*"&amp;Table38[[#This Row],[Country]]&amp;"*",Table6[],3,FALSE),0)</f>
        <v>49854</v>
      </c>
      <c r="L8">
        <f>CORREL(Table38[Life expectancy at birth],Table38[GDP - per capita (PPP)])</f>
        <v>0.66243787801142506</v>
      </c>
      <c r="M8">
        <f>(Table38[[#This Row],[Life expectancy at birth]]-$I$199)/$I$201</f>
        <v>0.95253164556962022</v>
      </c>
      <c r="N8" s="28">
        <f>(Table38[[#This Row],[GDP - per capita (PPP)]]-$K$199)/$K$201</f>
        <v>0.51215828890190152</v>
      </c>
    </row>
    <row r="9" spans="1:14" x14ac:dyDescent="0.25">
      <c r="A9" s="11" t="s">
        <v>34</v>
      </c>
      <c r="B9" s="26">
        <v>31</v>
      </c>
      <c r="C9" s="12">
        <v>49854</v>
      </c>
      <c r="D9" s="11">
        <v>2019</v>
      </c>
      <c r="G9" s="42">
        <v>8</v>
      </c>
      <c r="H9" t="s">
        <v>241</v>
      </c>
      <c r="I9" s="43">
        <v>83</v>
      </c>
      <c r="J9">
        <v>2020</v>
      </c>
      <c r="K9">
        <f>IFERROR(VLOOKUP("*"&amp;Table38[[#This Row],[Country]]&amp;"*",Table6[],3,FALSE),0)</f>
        <v>55874</v>
      </c>
      <c r="L9">
        <f>CORREL(Table38[Life expectancy at birth],Table38[GDP - per capita (PPP)])</f>
        <v>0.66243787801142506</v>
      </c>
      <c r="M9">
        <f>(Table38[[#This Row],[Life expectancy at birth]]-$I$199)/$I$201</f>
        <v>0.93987341772151878</v>
      </c>
      <c r="N9" s="28">
        <f>(Table38[[#This Row],[GDP - per capita (PPP)]]-$K$199)/$K$201</f>
        <v>0.5740027326614684</v>
      </c>
    </row>
    <row r="10" spans="1:14" x14ac:dyDescent="0.25">
      <c r="A10" s="13" t="s">
        <v>26</v>
      </c>
      <c r="B10" s="27">
        <v>23</v>
      </c>
      <c r="C10" s="10">
        <v>56188</v>
      </c>
      <c r="D10" s="13">
        <v>2019</v>
      </c>
      <c r="G10" s="42">
        <v>9</v>
      </c>
      <c r="H10" t="s">
        <v>242</v>
      </c>
      <c r="I10" s="43">
        <v>83</v>
      </c>
      <c r="J10">
        <v>2020</v>
      </c>
      <c r="K10">
        <f>IFERROR(VLOOKUP("*"&amp;Table38[[#This Row],[Country]]&amp;"*",Table6[],3,FALSE),0)</f>
        <v>40145</v>
      </c>
      <c r="L10">
        <f>CORREL(Table38[Life expectancy at birth],Table38[GDP - per capita (PPP)])</f>
        <v>0.66243787801142506</v>
      </c>
      <c r="M10">
        <f>(Table38[[#This Row],[Life expectancy at birth]]-$I$199)/$I$201</f>
        <v>0.93987341772151878</v>
      </c>
      <c r="N10" s="28">
        <f>(Table38[[#This Row],[GDP - per capita (PPP)]]-$K$199)/$K$201</f>
        <v>0.41241614530362336</v>
      </c>
    </row>
    <row r="11" spans="1:14" x14ac:dyDescent="0.25">
      <c r="A11" s="11" t="s">
        <v>121</v>
      </c>
      <c r="B11" s="26">
        <v>118</v>
      </c>
      <c r="C11" s="12">
        <v>14404</v>
      </c>
      <c r="D11" s="11">
        <v>2019</v>
      </c>
      <c r="G11" s="42">
        <v>10</v>
      </c>
      <c r="H11" t="s">
        <v>243</v>
      </c>
      <c r="I11" s="43">
        <v>83</v>
      </c>
      <c r="J11">
        <v>2020</v>
      </c>
      <c r="K11">
        <f>IFERROR(VLOOKUP("*"&amp;Table38[[#This Row],[Country]]&amp;"*",Table6[],3,FALSE),0)</f>
        <v>42765</v>
      </c>
      <c r="L11">
        <f>CORREL(Table38[Life expectancy at birth],Table38[GDP - per capita (PPP)])</f>
        <v>0.66243787801142506</v>
      </c>
      <c r="M11">
        <f>(Table38[[#This Row],[Life expectancy at birth]]-$I$199)/$I$201</f>
        <v>0.93987341772151878</v>
      </c>
      <c r="N11" s="28">
        <f>(Table38[[#This Row],[GDP - per capita (PPP)]]-$K$199)/$K$201</f>
        <v>0.4393318334514747</v>
      </c>
    </row>
    <row r="12" spans="1:14" x14ac:dyDescent="0.25">
      <c r="A12" s="11" t="s">
        <v>58</v>
      </c>
      <c r="B12" s="26">
        <v>55</v>
      </c>
      <c r="C12" s="12">
        <v>37101</v>
      </c>
      <c r="D12" s="11">
        <v>2019</v>
      </c>
      <c r="G12" s="42">
        <v>11</v>
      </c>
      <c r="H12" t="s">
        <v>244</v>
      </c>
      <c r="I12" s="43">
        <v>82.8</v>
      </c>
      <c r="J12">
        <v>2020</v>
      </c>
      <c r="K12">
        <f>IFERROR(VLOOKUP("*"&amp;Table38[[#This Row],[Country]]&amp;"*",Table6[],3,FALSE),0)</f>
        <v>53240</v>
      </c>
      <c r="L12">
        <f>CORREL(Table38[Life expectancy at birth],Table38[GDP - per capita (PPP)])</f>
        <v>0.66243787801142506</v>
      </c>
      <c r="M12">
        <f>(Table38[[#This Row],[Life expectancy at birth]]-$I$199)/$I$201</f>
        <v>0.93354430379746811</v>
      </c>
      <c r="N12" s="28">
        <f>(Table38[[#This Row],[GDP - per capita (PPP)]]-$K$199)/$K$201</f>
        <v>0.54694322022580411</v>
      </c>
    </row>
    <row r="13" spans="1:14" x14ac:dyDescent="0.25">
      <c r="A13" s="13" t="s">
        <v>42</v>
      </c>
      <c r="B13" s="27">
        <v>39</v>
      </c>
      <c r="C13" s="10">
        <v>45011</v>
      </c>
      <c r="D13" s="13">
        <v>2019</v>
      </c>
      <c r="G13" s="42">
        <v>12</v>
      </c>
      <c r="H13" t="s">
        <v>245</v>
      </c>
      <c r="I13" s="43">
        <v>82.7</v>
      </c>
      <c r="J13">
        <v>2020</v>
      </c>
      <c r="K13">
        <f>IFERROR(VLOOKUP("*"&amp;Table38[[#This Row],[Country]]&amp;"*",Table6[],3,FALSE),0)</f>
        <v>46184</v>
      </c>
      <c r="L13">
        <f>CORREL(Table38[Life expectancy at birth],Table38[GDP - per capita (PPP)])</f>
        <v>0.66243787801142506</v>
      </c>
      <c r="M13">
        <f>(Table38[[#This Row],[Life expectancy at birth]]-$I$199)/$I$201</f>
        <v>0.930379746835443</v>
      </c>
      <c r="N13" s="28">
        <f>(Table38[[#This Row],[GDP - per capita (PPP)]]-$K$199)/$K$201</f>
        <v>0.47445577916807924</v>
      </c>
    </row>
    <row r="14" spans="1:14" x14ac:dyDescent="0.25">
      <c r="A14" s="11" t="s">
        <v>179</v>
      </c>
      <c r="B14" s="26">
        <v>176</v>
      </c>
      <c r="C14" s="12">
        <v>4754</v>
      </c>
      <c r="D14" s="11">
        <v>2019</v>
      </c>
      <c r="G14" s="42">
        <v>13</v>
      </c>
      <c r="H14" t="s">
        <v>246</v>
      </c>
      <c r="I14" s="43">
        <v>82.5</v>
      </c>
      <c r="J14">
        <v>2020</v>
      </c>
      <c r="K14">
        <f>IFERROR(VLOOKUP("*"&amp;Table38[[#This Row],[Country]]&amp;"*",Table6[],3,FALSE),0)</f>
        <v>44032</v>
      </c>
      <c r="L14">
        <f>CORREL(Table38[Life expectancy at birth],Table38[GDP - per capita (PPP)])</f>
        <v>0.66243787801142506</v>
      </c>
      <c r="M14">
        <f>(Table38[[#This Row],[Life expectancy at birth]]-$I$199)/$I$201</f>
        <v>0.92405063291139222</v>
      </c>
      <c r="N14" s="28">
        <f>(Table38[[#This Row],[GDP - per capita (PPP)]]-$K$199)/$K$201</f>
        <v>0.45234793149854635</v>
      </c>
    </row>
    <row r="15" spans="1:14" x14ac:dyDescent="0.25">
      <c r="A15" s="13" t="s">
        <v>111</v>
      </c>
      <c r="B15" s="27">
        <v>108</v>
      </c>
      <c r="C15" s="10">
        <v>15639</v>
      </c>
      <c r="D15" s="13">
        <v>2019</v>
      </c>
      <c r="G15" s="42">
        <v>14</v>
      </c>
      <c r="H15" t="s">
        <v>247</v>
      </c>
      <c r="I15" s="43">
        <v>82.4</v>
      </c>
      <c r="J15">
        <v>2020</v>
      </c>
      <c r="K15">
        <f>IFERROR(VLOOKUP("*"&amp;Table38[[#This Row],[Country]]&amp;"*",Table6[],3,FALSE),0)</f>
        <v>63633</v>
      </c>
      <c r="L15">
        <f>CORREL(Table38[Life expectancy at birth],Table38[GDP - per capita (PPP)])</f>
        <v>0.66243787801142506</v>
      </c>
      <c r="M15">
        <f>(Table38[[#This Row],[Life expectancy at birth]]-$I$199)/$I$201</f>
        <v>0.92088607594936711</v>
      </c>
      <c r="N15" s="28">
        <f>(Table38[[#This Row],[GDP - per capita (PPP)]]-$K$199)/$K$201</f>
        <v>0.6537122076000863</v>
      </c>
    </row>
    <row r="16" spans="1:14" x14ac:dyDescent="0.25">
      <c r="A16" s="11" t="s">
        <v>97</v>
      </c>
      <c r="B16" s="26">
        <v>94</v>
      </c>
      <c r="C16" s="12">
        <v>19150</v>
      </c>
      <c r="D16" s="11">
        <v>2019</v>
      </c>
      <c r="G16" s="42">
        <v>15</v>
      </c>
      <c r="H16" t="s">
        <v>248</v>
      </c>
      <c r="I16" s="43">
        <v>82.4</v>
      </c>
      <c r="J16">
        <v>2020</v>
      </c>
      <c r="K16">
        <f>IFERROR(VLOOKUP("*"&amp;Table38[[#This Row],[Country]]&amp;"*",Table6[],3,FALSE),0)</f>
        <v>49031</v>
      </c>
      <c r="L16">
        <f>CORREL(Table38[Life expectancy at birth],Table38[GDP - per capita (PPP)])</f>
        <v>0.66243787801142506</v>
      </c>
      <c r="M16">
        <f>(Table38[[#This Row],[Life expectancy at birth]]-$I$199)/$I$201</f>
        <v>0.92088607594936711</v>
      </c>
      <c r="N16" s="28">
        <f>(Table38[[#This Row],[GDP - per capita (PPP)]]-$K$199)/$K$201</f>
        <v>0.50370347541118332</v>
      </c>
    </row>
    <row r="17" spans="1:14" x14ac:dyDescent="0.25">
      <c r="A17" s="13" t="s">
        <v>31</v>
      </c>
      <c r="B17" s="27">
        <v>28</v>
      </c>
      <c r="C17" s="10">
        <v>51934</v>
      </c>
      <c r="D17" s="13">
        <v>2019</v>
      </c>
      <c r="G17" s="42">
        <v>16</v>
      </c>
      <c r="H17" t="s">
        <v>249</v>
      </c>
      <c r="I17" s="43">
        <v>82.3</v>
      </c>
      <c r="J17">
        <v>2020</v>
      </c>
      <c r="K17">
        <f>IFERROR(VLOOKUP("*"&amp;Table38[[#This Row],[Country]]&amp;"*",Table6[],3,FALSE),0)</f>
        <v>86781</v>
      </c>
      <c r="L17">
        <f>CORREL(Table38[Life expectancy at birth],Table38[GDP - per capita (PPP)])</f>
        <v>0.66243787801142506</v>
      </c>
      <c r="M17">
        <f>(Table38[[#This Row],[Life expectancy at birth]]-$I$199)/$I$201</f>
        <v>0.91772151898734156</v>
      </c>
      <c r="N17" s="28">
        <f>(Table38[[#This Row],[GDP - per capita (PPP)]]-$K$199)/$K$201</f>
        <v>0.89151539433537774</v>
      </c>
    </row>
    <row r="18" spans="1:14" x14ac:dyDescent="0.25">
      <c r="A18" s="11" t="s">
        <v>161</v>
      </c>
      <c r="B18" s="26">
        <v>158</v>
      </c>
      <c r="C18" s="12">
        <v>7005</v>
      </c>
      <c r="D18" s="11">
        <v>2019</v>
      </c>
      <c r="G18" s="42">
        <v>17</v>
      </c>
      <c r="H18" t="s">
        <v>250</v>
      </c>
      <c r="I18" s="43">
        <v>82.3</v>
      </c>
      <c r="J18">
        <v>2020</v>
      </c>
      <c r="K18">
        <f>IFERROR(VLOOKUP("*"&amp;Table38[[#This Row],[Country]]&amp;"*",Table6[],3,FALSE),0)</f>
        <v>56935</v>
      </c>
      <c r="L18">
        <f>CORREL(Table38[Life expectancy at birth],Table38[GDP - per capita (PPP)])</f>
        <v>0.66243787801142506</v>
      </c>
      <c r="M18">
        <f>(Table38[[#This Row],[Life expectancy at birth]]-$I$199)/$I$201</f>
        <v>0.91772151898734156</v>
      </c>
      <c r="N18" s="28">
        <f>(Table38[[#This Row],[GDP - per capita (PPP)]]-$K$199)/$K$201</f>
        <v>0.58490255904500676</v>
      </c>
    </row>
    <row r="19" spans="1:14" x14ac:dyDescent="0.25">
      <c r="A19" s="13" t="s">
        <v>197</v>
      </c>
      <c r="B19" s="27">
        <v>194</v>
      </c>
      <c r="C19" s="10">
        <v>3287</v>
      </c>
      <c r="D19" s="13">
        <v>2019</v>
      </c>
      <c r="G19" s="42">
        <v>18</v>
      </c>
      <c r="H19" t="s">
        <v>251</v>
      </c>
      <c r="I19" s="43">
        <v>82.3</v>
      </c>
      <c r="J19">
        <v>2020</v>
      </c>
      <c r="K19">
        <f>IFERROR(VLOOKUP("*"&amp;Table38[[#This Row],[Country]]&amp;"*",Table6[],3,FALSE),0)</f>
        <v>42888</v>
      </c>
      <c r="L19">
        <f>CORREL(Table38[Life expectancy at birth],Table38[GDP - per capita (PPP)])</f>
        <v>0.66243787801142506</v>
      </c>
      <c r="M19">
        <f>(Table38[[#This Row],[Life expectancy at birth]]-$I$199)/$I$201</f>
        <v>0.91772151898734156</v>
      </c>
      <c r="N19" s="28">
        <f>(Table38[[#This Row],[GDP - per capita (PPP)]]-$K$199)/$K$201</f>
        <v>0.4405954325515456</v>
      </c>
    </row>
    <row r="20" spans="1:14" x14ac:dyDescent="0.25">
      <c r="A20" s="11" t="s">
        <v>12</v>
      </c>
      <c r="B20" s="26">
        <v>9</v>
      </c>
      <c r="C20" s="12">
        <v>81798</v>
      </c>
      <c r="D20" s="11">
        <v>2019</v>
      </c>
      <c r="G20" s="42">
        <v>19</v>
      </c>
      <c r="H20" t="s">
        <v>252</v>
      </c>
      <c r="I20" s="43">
        <v>82.3</v>
      </c>
      <c r="J20">
        <v>2020</v>
      </c>
      <c r="K20">
        <f>IFERROR(VLOOKUP("*"&amp;Table38[[#This Row],[Country]]&amp;"*",Table6[],3,FALSE),0)</f>
        <v>0</v>
      </c>
      <c r="L20">
        <f>CORREL(Table38[Life expectancy at birth],Table38[GDP - per capita (PPP)])</f>
        <v>0.66243787801142506</v>
      </c>
      <c r="M20">
        <f>(Table38[[#This Row],[Life expectancy at birth]]-$I$199)/$I$201</f>
        <v>0.91772151898734156</v>
      </c>
      <c r="N20" s="28">
        <f>(Table38[[#This Row],[GDP - per capita (PPP)]]-$K$199)/$K$201</f>
        <v>0</v>
      </c>
    </row>
    <row r="21" spans="1:14" x14ac:dyDescent="0.25">
      <c r="A21" s="13" t="s">
        <v>138</v>
      </c>
      <c r="B21" s="27">
        <v>135</v>
      </c>
      <c r="C21" s="10">
        <v>11832</v>
      </c>
      <c r="D21" s="13">
        <v>2019</v>
      </c>
      <c r="G21" s="42">
        <v>20</v>
      </c>
      <c r="H21" t="s">
        <v>253</v>
      </c>
      <c r="I21" s="43">
        <v>82.2</v>
      </c>
      <c r="J21">
        <v>2020</v>
      </c>
      <c r="K21">
        <f>IFERROR(VLOOKUP("*"&amp;Table38[[#This Row],[Country]]&amp;"*",Table6[],3,FALSE),0)</f>
        <v>29799</v>
      </c>
      <c r="L21">
        <f>CORREL(Table38[Life expectancy at birth],Table38[GDP - per capita (PPP)])</f>
        <v>0.66243787801142506</v>
      </c>
      <c r="M21">
        <f>(Table38[[#This Row],[Life expectancy at birth]]-$I$199)/$I$201</f>
        <v>0.91455696202531633</v>
      </c>
      <c r="N21" s="28">
        <f>(Table38[[#This Row],[GDP - per capita (PPP)]]-$K$199)/$K$201</f>
        <v>0.30612999660985607</v>
      </c>
    </row>
    <row r="22" spans="1:14" x14ac:dyDescent="0.25">
      <c r="A22" s="13" t="s">
        <v>153</v>
      </c>
      <c r="B22" s="27">
        <v>150</v>
      </c>
      <c r="C22" s="10">
        <v>8724</v>
      </c>
      <c r="D22" s="13">
        <v>2019</v>
      </c>
      <c r="G22" s="42">
        <v>21</v>
      </c>
      <c r="H22" t="s">
        <v>254</v>
      </c>
      <c r="I22" s="43">
        <v>82.1</v>
      </c>
      <c r="J22">
        <v>2020</v>
      </c>
      <c r="K22">
        <f>IFERROR(VLOOKUP("*"&amp;Table38[[#This Row],[Country]]&amp;"*",Table6[],3,FALSE),0)</f>
        <v>34894</v>
      </c>
      <c r="L22">
        <f>CORREL(Table38[Life expectancy at birth],Table38[GDP - per capita (PPP)])</f>
        <v>0.66243787801142506</v>
      </c>
      <c r="M22">
        <f>(Table38[[#This Row],[Life expectancy at birth]]-$I$199)/$I$201</f>
        <v>0.91139240506329078</v>
      </c>
      <c r="N22" s="28">
        <f>(Table38[[#This Row],[GDP - per capita (PPP)]]-$K$199)/$K$201</f>
        <v>0.35847176421035332</v>
      </c>
    </row>
    <row r="23" spans="1:14" x14ac:dyDescent="0.25">
      <c r="A23" s="11" t="s">
        <v>116</v>
      </c>
      <c r="B23" s="26">
        <v>113</v>
      </c>
      <c r="C23" s="12">
        <v>14912</v>
      </c>
      <c r="D23" s="11">
        <v>2019</v>
      </c>
      <c r="G23" s="42">
        <v>22</v>
      </c>
      <c r="H23" t="s">
        <v>255</v>
      </c>
      <c r="I23" s="43">
        <v>81.900000000000006</v>
      </c>
      <c r="J23">
        <v>2020</v>
      </c>
      <c r="K23">
        <f>IFERROR(VLOOKUP("*"&amp;Table38[[#This Row],[Country]]&amp;"*",Table6[],3,FALSE),0)</f>
        <v>48668</v>
      </c>
      <c r="L23">
        <f>CORREL(Table38[Life expectancy at birth],Table38[GDP - per capita (PPP)])</f>
        <v>0.66243787801142506</v>
      </c>
      <c r="M23">
        <f>(Table38[[#This Row],[Life expectancy at birth]]-$I$199)/$I$201</f>
        <v>0.90506329113924056</v>
      </c>
      <c r="N23" s="28">
        <f>(Table38[[#This Row],[GDP - per capita (PPP)]]-$K$199)/$K$201</f>
        <v>0.49997431709146195</v>
      </c>
    </row>
    <row r="24" spans="1:14" x14ac:dyDescent="0.25">
      <c r="A24" s="13" t="s">
        <v>102</v>
      </c>
      <c r="B24" s="27">
        <v>99</v>
      </c>
      <c r="C24" s="10">
        <v>17767</v>
      </c>
      <c r="D24" s="13">
        <v>2019</v>
      </c>
      <c r="G24" s="42">
        <v>23</v>
      </c>
      <c r="H24" t="s">
        <v>256</v>
      </c>
      <c r="I24" s="43">
        <v>81.900000000000006</v>
      </c>
      <c r="J24">
        <v>2020</v>
      </c>
      <c r="K24">
        <f>IFERROR(VLOOKUP("*"&amp;Table38[[#This Row],[Country]]&amp;"*",Table6[],3,FALSE),0)</f>
        <v>0</v>
      </c>
      <c r="L24">
        <f>CORREL(Table38[Life expectancy at birth],Table38[GDP - per capita (PPP)])</f>
        <v>0.66243787801142506</v>
      </c>
      <c r="M24">
        <f>(Table38[[#This Row],[Life expectancy at birth]]-$I$199)/$I$201</f>
        <v>0.90506329113924056</v>
      </c>
      <c r="N24" s="28">
        <f>(Table38[[#This Row],[GDP - per capita (PPP)]]-$K$199)/$K$201</f>
        <v>0</v>
      </c>
    </row>
    <row r="25" spans="1:14" x14ac:dyDescent="0.25">
      <c r="A25" s="11" t="s">
        <v>119</v>
      </c>
      <c r="B25" s="26">
        <v>116</v>
      </c>
      <c r="C25" s="12">
        <v>14652</v>
      </c>
      <c r="D25" s="11">
        <v>2019</v>
      </c>
      <c r="G25" s="42">
        <v>24</v>
      </c>
      <c r="H25" t="s">
        <v>257</v>
      </c>
      <c r="I25" s="43">
        <v>81.599999999999994</v>
      </c>
      <c r="J25">
        <v>2020</v>
      </c>
      <c r="K25">
        <f>IFERROR(VLOOKUP("*"&amp;Table38[[#This Row],[Country]]&amp;"*",Table6[],3,FALSE),0)</f>
        <v>51934</v>
      </c>
      <c r="L25">
        <f>CORREL(Table38[Life expectancy at birth],Table38[GDP - per capita (PPP)])</f>
        <v>0.66243787801142506</v>
      </c>
      <c r="M25">
        <f>(Table38[[#This Row],[Life expectancy at birth]]-$I$199)/$I$201</f>
        <v>0.89556962025316422</v>
      </c>
      <c r="N25" s="28">
        <f>(Table38[[#This Row],[GDP - per capita (PPP)]]-$K$199)/$K$201</f>
        <v>0.53352646880553933</v>
      </c>
    </row>
    <row r="26" spans="1:14" x14ac:dyDescent="0.25">
      <c r="A26" s="13" t="s">
        <v>19</v>
      </c>
      <c r="B26" s="27">
        <v>16</v>
      </c>
      <c r="C26" s="10">
        <v>62100</v>
      </c>
      <c r="D26" s="13">
        <v>2019</v>
      </c>
      <c r="G26" s="42">
        <v>25</v>
      </c>
      <c r="H26" t="s">
        <v>258</v>
      </c>
      <c r="I26" s="43">
        <v>81.5</v>
      </c>
      <c r="J26">
        <v>2020</v>
      </c>
      <c r="K26">
        <f>IFERROR(VLOOKUP("*"&amp;Table38[[#This Row],[Country]]&amp;"*",Table6[],3,FALSE),0)</f>
        <v>56188</v>
      </c>
      <c r="L26">
        <f>CORREL(Table38[Life expectancy at birth],Table38[GDP - per capita (PPP)])</f>
        <v>0.66243787801142506</v>
      </c>
      <c r="M26">
        <f>(Table38[[#This Row],[Life expectancy at birth]]-$I$199)/$I$201</f>
        <v>0.89240506329113911</v>
      </c>
      <c r="N26" s="28">
        <f>(Table38[[#This Row],[GDP - per capita (PPP)]]-$K$199)/$K$201</f>
        <v>0.57722850597384456</v>
      </c>
    </row>
    <row r="27" spans="1:14" x14ac:dyDescent="0.25">
      <c r="A27" s="13" t="s">
        <v>87</v>
      </c>
      <c r="B27" s="27">
        <v>84</v>
      </c>
      <c r="C27" s="10">
        <v>23174</v>
      </c>
      <c r="D27" s="13">
        <v>2019</v>
      </c>
      <c r="G27" s="42">
        <v>26</v>
      </c>
      <c r="H27" t="s">
        <v>259</v>
      </c>
      <c r="I27" s="43">
        <v>81.3</v>
      </c>
      <c r="J27">
        <v>2020</v>
      </c>
      <c r="K27">
        <f>IFERROR(VLOOKUP("*"&amp;Table38[[#This Row],[Country]]&amp;"*",Table6[],3,FALSE),0)</f>
        <v>53919</v>
      </c>
      <c r="L27">
        <f>CORREL(Table38[Life expectancy at birth],Table38[GDP - per capita (PPP)])</f>
        <v>0.66243787801142506</v>
      </c>
      <c r="M27">
        <f>(Table38[[#This Row],[Life expectancy at birth]]-$I$199)/$I$201</f>
        <v>0.88607594936708833</v>
      </c>
      <c r="N27" s="28">
        <f>(Table38[[#This Row],[GDP - per capita (PPP)]]-$K$199)/$K$201</f>
        <v>0.55391869818473205</v>
      </c>
    </row>
    <row r="28" spans="1:14" x14ac:dyDescent="0.25">
      <c r="A28" s="11" t="s">
        <v>214</v>
      </c>
      <c r="B28" s="26">
        <v>211</v>
      </c>
      <c r="C28" s="12">
        <v>2178</v>
      </c>
      <c r="D28" s="11">
        <v>2019</v>
      </c>
      <c r="G28" s="42">
        <v>27</v>
      </c>
      <c r="H28" t="s">
        <v>260</v>
      </c>
      <c r="I28" s="43">
        <v>81.3</v>
      </c>
      <c r="J28">
        <v>2020</v>
      </c>
      <c r="K28">
        <f>IFERROR(VLOOKUP("*"&amp;Table38[[#This Row],[Country]]&amp;"*",Table6[],3,FALSE),0)</f>
        <v>46659</v>
      </c>
      <c r="L28">
        <f>CORREL(Table38[Life expectancy at birth],Table38[GDP - per capita (PPP)])</f>
        <v>0.66243787801142506</v>
      </c>
      <c r="M28">
        <f>(Table38[[#This Row],[Life expectancy at birth]]-$I$199)/$I$201</f>
        <v>0.88607594936708833</v>
      </c>
      <c r="N28" s="28">
        <f>(Table38[[#This Row],[GDP - per capita (PPP)]]-$K$199)/$K$201</f>
        <v>0.47933553179030419</v>
      </c>
    </row>
    <row r="29" spans="1:14" x14ac:dyDescent="0.25">
      <c r="A29" s="11" t="s">
        <v>231</v>
      </c>
      <c r="B29" s="26">
        <v>228</v>
      </c>
      <c r="C29" s="12">
        <v>752</v>
      </c>
      <c r="D29" s="11">
        <v>2019</v>
      </c>
      <c r="G29" s="42">
        <v>28</v>
      </c>
      <c r="H29" t="s">
        <v>261</v>
      </c>
      <c r="I29" s="43">
        <v>81.3</v>
      </c>
      <c r="J29">
        <v>2020</v>
      </c>
      <c r="K29">
        <f>IFERROR(VLOOKUP("*"&amp;Table38[[#This Row],[Country]]&amp;"*",Table6[],3,FALSE),0)</f>
        <v>39088</v>
      </c>
      <c r="L29">
        <f>CORREL(Table38[Life expectancy at birth],Table38[GDP - per capita (PPP)])</f>
        <v>0.66243787801142506</v>
      </c>
      <c r="M29">
        <f>(Table38[[#This Row],[Life expectancy at birth]]-$I$199)/$I$201</f>
        <v>0.88607594936708833</v>
      </c>
      <c r="N29" s="28">
        <f>(Table38[[#This Row],[GDP - per capita (PPP)]]-$K$199)/$K$201</f>
        <v>0.40155741157374591</v>
      </c>
    </row>
    <row r="30" spans="1:14" x14ac:dyDescent="0.25">
      <c r="A30" s="11" t="s">
        <v>181</v>
      </c>
      <c r="B30" s="26">
        <v>178</v>
      </c>
      <c r="C30" s="12">
        <v>4389</v>
      </c>
      <c r="D30" s="11">
        <v>2019</v>
      </c>
      <c r="G30" s="42">
        <v>29</v>
      </c>
      <c r="H30" t="s">
        <v>262</v>
      </c>
      <c r="I30" s="43">
        <v>81</v>
      </c>
      <c r="J30">
        <v>2020</v>
      </c>
      <c r="K30">
        <f>IFERROR(VLOOKUP("*"&amp;Table38[[#This Row],[Country]]&amp;"*",Table6[],3,FALSE),0)</f>
        <v>39545</v>
      </c>
      <c r="L30">
        <f>CORREL(Table38[Life expectancy at birth],Table38[GDP - per capita (PPP)])</f>
        <v>0.66243787801142506</v>
      </c>
      <c r="M30">
        <f>(Table38[[#This Row],[Life expectancy at birth]]-$I$199)/$I$201</f>
        <v>0.87658227848101256</v>
      </c>
      <c r="N30" s="28">
        <f>(Table38[[#This Row],[GDP - per capita (PPP)]]-$K$199)/$K$201</f>
        <v>0.4062522472544971</v>
      </c>
    </row>
    <row r="31" spans="1:14" x14ac:dyDescent="0.25">
      <c r="A31" s="13" t="s">
        <v>190</v>
      </c>
      <c r="B31" s="27">
        <v>187</v>
      </c>
      <c r="C31" s="10">
        <v>3642</v>
      </c>
      <c r="D31" s="13">
        <v>2019</v>
      </c>
      <c r="G31" s="42">
        <v>30</v>
      </c>
      <c r="H31" t="s">
        <v>263</v>
      </c>
      <c r="I31" s="43">
        <v>80.900000000000006</v>
      </c>
      <c r="J31">
        <v>2020</v>
      </c>
      <c r="K31">
        <f>IFERROR(VLOOKUP("*"&amp;Table38[[#This Row],[Country]]&amp;"*",Table6[],3,FALSE),0)</f>
        <v>57804</v>
      </c>
      <c r="L31">
        <f>CORREL(Table38[Life expectancy at birth],Table38[GDP - per capita (PPP)])</f>
        <v>0.66243787801142506</v>
      </c>
      <c r="M31">
        <f>(Table38[[#This Row],[Life expectancy at birth]]-$I$199)/$I$201</f>
        <v>0.87341772151898733</v>
      </c>
      <c r="N31" s="28">
        <f>(Table38[[#This Row],[GDP - per capita (PPP)]]-$K$199)/$K$201</f>
        <v>0.59382993805282458</v>
      </c>
    </row>
    <row r="32" spans="1:14" x14ac:dyDescent="0.25">
      <c r="A32" s="11" t="s">
        <v>36</v>
      </c>
      <c r="B32" s="26">
        <v>33</v>
      </c>
      <c r="C32" s="12">
        <v>49031</v>
      </c>
      <c r="D32" s="11">
        <v>2019</v>
      </c>
      <c r="G32" s="42">
        <v>31</v>
      </c>
      <c r="H32" t="s">
        <v>264</v>
      </c>
      <c r="I32" s="43">
        <v>80.7</v>
      </c>
      <c r="J32">
        <v>2020</v>
      </c>
      <c r="K32">
        <f>IFERROR(VLOOKUP("*"&amp;Table38[[#This Row],[Country]]&amp;"*",Table6[],3,FALSE),0)</f>
        <v>0</v>
      </c>
      <c r="L32">
        <f>CORREL(Table38[Life expectancy at birth],Table38[GDP - per capita (PPP)])</f>
        <v>0.66243787801142506</v>
      </c>
      <c r="M32">
        <f>(Table38[[#This Row],[Life expectancy at birth]]-$I$199)/$I$201</f>
        <v>0.86708860759493667</v>
      </c>
      <c r="N32" s="28">
        <f>(Table38[[#This Row],[GDP - per capita (PPP)]]-$K$199)/$K$201</f>
        <v>0</v>
      </c>
    </row>
    <row r="33" spans="1:14" x14ac:dyDescent="0.25">
      <c r="A33" s="13" t="s">
        <v>160</v>
      </c>
      <c r="B33" s="27">
        <v>157</v>
      </c>
      <c r="C33" s="10">
        <v>7172</v>
      </c>
      <c r="D33" s="13">
        <v>2019</v>
      </c>
      <c r="G33" s="42">
        <v>32</v>
      </c>
      <c r="H33" t="s">
        <v>265</v>
      </c>
      <c r="I33" s="43">
        <v>80.3</v>
      </c>
      <c r="J33">
        <v>2020</v>
      </c>
      <c r="K33">
        <f>IFERROR(VLOOKUP("*"&amp;Table38[[#This Row],[Country]]&amp;"*",Table6[],3,FALSE),0)</f>
        <v>19642</v>
      </c>
      <c r="L33">
        <f>CORREL(Table38[Life expectancy at birth],Table38[GDP - per capita (PPP)])</f>
        <v>0.66243787801142506</v>
      </c>
      <c r="M33">
        <f>(Table38[[#This Row],[Life expectancy at birth]]-$I$199)/$I$201</f>
        <v>0.85443037974683522</v>
      </c>
      <c r="N33" s="28">
        <f>(Table38[[#This Row],[GDP - per capita (PPP)]]-$K$199)/$K$201</f>
        <v>0.20178547580156359</v>
      </c>
    </row>
    <row r="34" spans="1:14" x14ac:dyDescent="0.25">
      <c r="A34" s="13" t="s">
        <v>229</v>
      </c>
      <c r="B34" s="27">
        <v>226</v>
      </c>
      <c r="C34" s="10">
        <v>945</v>
      </c>
      <c r="D34" s="13">
        <v>2019</v>
      </c>
      <c r="G34" s="42">
        <v>33</v>
      </c>
      <c r="H34" t="s">
        <v>266</v>
      </c>
      <c r="I34" s="43">
        <v>80.2</v>
      </c>
      <c r="J34">
        <v>2020</v>
      </c>
      <c r="K34">
        <f>IFERROR(VLOOKUP("*"&amp;Table38[[#This Row],[Country]]&amp;"*",Table6[],3,FALSE),0)</f>
        <v>24226</v>
      </c>
      <c r="L34">
        <f>CORREL(Table38[Life expectancy at birth],Table38[GDP - per capita (PPP)])</f>
        <v>0.66243787801142506</v>
      </c>
      <c r="M34">
        <f>(Table38[[#This Row],[Life expectancy at birth]]-$I$199)/$I$201</f>
        <v>0.85126582278481011</v>
      </c>
      <c r="N34" s="28">
        <f>(Table38[[#This Row],[GDP - per capita (PPP)]]-$K$199)/$K$201</f>
        <v>0.24887765689688826</v>
      </c>
    </row>
    <row r="35" spans="1:14" x14ac:dyDescent="0.25">
      <c r="A35" s="13" t="s">
        <v>223</v>
      </c>
      <c r="B35" s="27">
        <v>220</v>
      </c>
      <c r="C35" s="10">
        <v>1580</v>
      </c>
      <c r="D35" s="13">
        <v>2019</v>
      </c>
      <c r="G35" s="42">
        <v>34</v>
      </c>
      <c r="H35" t="s">
        <v>267</v>
      </c>
      <c r="I35" s="43">
        <v>80.2</v>
      </c>
      <c r="J35">
        <v>2020</v>
      </c>
      <c r="K35">
        <f>IFERROR(VLOOKUP("*"&amp;Table38[[#This Row],[Country]]&amp;"*",Table6[],3,FALSE),0)</f>
        <v>90044</v>
      </c>
      <c r="L35">
        <f>CORREL(Table38[Life expectancy at birth],Table38[GDP - per capita (PPP)])</f>
        <v>0.66243787801142506</v>
      </c>
      <c r="M35">
        <f>(Table38[[#This Row],[Life expectancy at birth]]-$I$199)/$I$201</f>
        <v>0.85126582278481011</v>
      </c>
      <c r="N35" s="28">
        <f>(Table38[[#This Row],[GDP - per capita (PPP)]]-$K$199)/$K$201</f>
        <v>0.92503672655920943</v>
      </c>
    </row>
    <row r="36" spans="1:14" x14ac:dyDescent="0.25">
      <c r="A36" s="11" t="s">
        <v>86</v>
      </c>
      <c r="B36" s="26">
        <v>83</v>
      </c>
      <c r="C36" s="12">
        <v>24226</v>
      </c>
      <c r="D36" s="11">
        <v>2019</v>
      </c>
      <c r="G36" s="42">
        <v>35</v>
      </c>
      <c r="H36" t="s">
        <v>268</v>
      </c>
      <c r="I36" s="43">
        <v>79.400000000000006</v>
      </c>
      <c r="J36">
        <v>2020</v>
      </c>
      <c r="K36">
        <f>IFERROR(VLOOKUP("*"&amp;Table38[[#This Row],[Country]]&amp;"*",Table6[],3,FALSE),0)</f>
        <v>40862</v>
      </c>
      <c r="L36">
        <f>CORREL(Table38[Life expectancy at birth],Table38[GDP - per capita (PPP)])</f>
        <v>0.66243787801142506</v>
      </c>
      <c r="M36">
        <f>(Table38[[#This Row],[Life expectancy at birth]]-$I$199)/$I$201</f>
        <v>0.82594936708860767</v>
      </c>
      <c r="N36" s="28">
        <f>(Table38[[#This Row],[GDP - per capita (PPP)]]-$K$199)/$K$201</f>
        <v>0.41978200347232925</v>
      </c>
    </row>
    <row r="37" spans="1:14" x14ac:dyDescent="0.25">
      <c r="A37" s="11" t="s">
        <v>110</v>
      </c>
      <c r="B37" s="26">
        <v>107</v>
      </c>
      <c r="C37" s="12">
        <v>16117</v>
      </c>
      <c r="D37" s="11">
        <v>2019</v>
      </c>
      <c r="G37" s="42">
        <v>36</v>
      </c>
      <c r="H37" t="s">
        <v>269</v>
      </c>
      <c r="I37" s="43">
        <v>79.2</v>
      </c>
      <c r="J37">
        <v>2020</v>
      </c>
      <c r="K37">
        <f>IFERROR(VLOOKUP("*"&amp;Table38[[#This Row],[Country]]&amp;"*",Table6[],3,FALSE),0)</f>
        <v>15639</v>
      </c>
      <c r="L37">
        <f>CORREL(Table38[Life expectancy at birth],Table38[GDP - per capita (PPP)])</f>
        <v>0.66243787801142506</v>
      </c>
      <c r="M37">
        <f>(Table38[[#This Row],[Life expectancy at birth]]-$I$199)/$I$201</f>
        <v>0.81962025316455689</v>
      </c>
      <c r="N37" s="28">
        <f>(Table38[[#This Row],[GDP - per capita (PPP)]]-$K$199)/$K$201</f>
        <v>0.16066200265047617</v>
      </c>
    </row>
    <row r="38" spans="1:14" x14ac:dyDescent="0.25">
      <c r="A38" s="13" t="s">
        <v>118</v>
      </c>
      <c r="B38" s="27">
        <v>115</v>
      </c>
      <c r="C38" s="10">
        <v>14722</v>
      </c>
      <c r="D38" s="13">
        <v>2019</v>
      </c>
      <c r="G38" s="42">
        <v>37</v>
      </c>
      <c r="H38" t="s">
        <v>270</v>
      </c>
      <c r="I38" s="43">
        <v>79.099999999999994</v>
      </c>
      <c r="J38">
        <v>2020</v>
      </c>
      <c r="K38">
        <f>IFERROR(VLOOKUP("*"&amp;Table38[[#This Row],[Country]]&amp;"*",Table6[],3,FALSE),0)</f>
        <v>62530</v>
      </c>
      <c r="L38">
        <f>CORREL(Table38[Life expectancy at birth],Table38[GDP - per capita (PPP)])</f>
        <v>0.66243787801142506</v>
      </c>
      <c r="M38">
        <f>(Table38[[#This Row],[Life expectancy at birth]]-$I$199)/$I$201</f>
        <v>0.81645569620253133</v>
      </c>
      <c r="N38" s="28">
        <f>(Table38[[#This Row],[GDP - per capita (PPP)]]-$K$199)/$K$201</f>
        <v>0.64238090835310913</v>
      </c>
    </row>
    <row r="39" spans="1:14" x14ac:dyDescent="0.25">
      <c r="A39" s="13" t="s">
        <v>199</v>
      </c>
      <c r="B39" s="27">
        <v>196</v>
      </c>
      <c r="C39" s="10">
        <v>3060</v>
      </c>
      <c r="D39" s="13">
        <v>2019</v>
      </c>
      <c r="G39" s="42">
        <v>38</v>
      </c>
      <c r="H39" t="s">
        <v>271</v>
      </c>
      <c r="I39" s="43">
        <v>78.900000000000006</v>
      </c>
      <c r="J39">
        <v>2020</v>
      </c>
      <c r="K39">
        <f>IFERROR(VLOOKUP("*"&amp;Table38[[#This Row],[Country]]&amp;"*",Table6[],3,FALSE),0)</f>
        <v>14552</v>
      </c>
      <c r="L39">
        <f>CORREL(Table38[Life expectancy at birth],Table38[GDP - per capita (PPP)])</f>
        <v>0.66243787801142506</v>
      </c>
      <c r="M39">
        <f>(Table38[[#This Row],[Life expectancy at birth]]-$I$199)/$I$201</f>
        <v>0.81012658227848111</v>
      </c>
      <c r="N39" s="28">
        <f>(Table38[[#This Row],[GDP - per capita (PPP)]]-$K$199)/$K$201</f>
        <v>0.14949507401814241</v>
      </c>
    </row>
    <row r="40" spans="1:14" x14ac:dyDescent="0.25">
      <c r="A40" s="11" t="s">
        <v>189</v>
      </c>
      <c r="B40" s="26">
        <v>186</v>
      </c>
      <c r="C40" s="12">
        <v>3673</v>
      </c>
      <c r="D40" s="11">
        <v>2019</v>
      </c>
      <c r="G40" s="42">
        <v>39</v>
      </c>
      <c r="H40" t="s">
        <v>272</v>
      </c>
      <c r="I40" s="43">
        <v>78.900000000000006</v>
      </c>
      <c r="J40">
        <v>2020</v>
      </c>
      <c r="K40">
        <f>IFERROR(VLOOKUP("*"&amp;Table38[[#This Row],[Country]]&amp;"*",Table6[],3,FALSE),0)</f>
        <v>19531</v>
      </c>
      <c r="L40">
        <f>CORREL(Table38[Life expectancy at birth],Table38[GDP - per capita (PPP)])</f>
        <v>0.66243787801142506</v>
      </c>
      <c r="M40">
        <f>(Table38[[#This Row],[Life expectancy at birth]]-$I$199)/$I$201</f>
        <v>0.81012658227848111</v>
      </c>
      <c r="N40" s="28">
        <f>(Table38[[#This Row],[GDP - per capita (PPP)]]-$K$199)/$K$201</f>
        <v>0.20064515466247521</v>
      </c>
    </row>
    <row r="41" spans="1:14" x14ac:dyDescent="0.25">
      <c r="A41" s="11" t="s">
        <v>94</v>
      </c>
      <c r="B41" s="26">
        <v>91</v>
      </c>
      <c r="C41" s="12">
        <v>19642</v>
      </c>
      <c r="D41" s="11">
        <v>2019</v>
      </c>
      <c r="G41" s="42">
        <v>40</v>
      </c>
      <c r="H41" t="s">
        <v>273</v>
      </c>
      <c r="I41" s="43">
        <v>78.8</v>
      </c>
      <c r="J41">
        <v>2020</v>
      </c>
      <c r="K41">
        <f>IFERROR(VLOOKUP("*"&amp;Table38[[#This Row],[Country]]&amp;"*",Table6[],3,FALSE),0)</f>
        <v>36927</v>
      </c>
      <c r="L41">
        <f>CORREL(Table38[Life expectancy at birth],Table38[GDP - per capita (PPP)])</f>
        <v>0.66243787801142506</v>
      </c>
      <c r="M41">
        <f>(Table38[[#This Row],[Life expectancy at birth]]-$I$199)/$I$201</f>
        <v>0.80696202531645544</v>
      </c>
      <c r="N41" s="28">
        <f>(Table38[[#This Row],[GDP - per capita (PPP)]]-$K$199)/$K$201</f>
        <v>0.37935710543347612</v>
      </c>
    </row>
    <row r="42" spans="1:14" x14ac:dyDescent="0.25">
      <c r="A42" s="13" t="s">
        <v>76</v>
      </c>
      <c r="B42" s="27">
        <v>73</v>
      </c>
      <c r="C42" s="10">
        <v>28602</v>
      </c>
      <c r="D42" s="13">
        <v>2019</v>
      </c>
      <c r="G42" s="42">
        <v>41</v>
      </c>
      <c r="H42" t="s">
        <v>274</v>
      </c>
      <c r="I42" s="43">
        <v>78.8</v>
      </c>
      <c r="J42">
        <v>2020</v>
      </c>
      <c r="K42">
        <f>IFERROR(VLOOKUP("*"&amp;Table38[[#This Row],[Country]]&amp;"*",Table6[],3,FALSE),0)</f>
        <v>0</v>
      </c>
      <c r="L42">
        <f>CORREL(Table38[Life expectancy at birth],Table38[GDP - per capita (PPP)])</f>
        <v>0.66243787801142506</v>
      </c>
      <c r="M42">
        <f>(Table38[[#This Row],[Life expectancy at birth]]-$I$199)/$I$201</f>
        <v>0.80696202531645544</v>
      </c>
      <c r="N42" s="28">
        <f>(Table38[[#This Row],[GDP - per capita (PPP)]]-$K$199)/$K$201</f>
        <v>0</v>
      </c>
    </row>
    <row r="43" spans="1:14" x14ac:dyDescent="0.25">
      <c r="A43" s="13" t="s">
        <v>85</v>
      </c>
      <c r="B43" s="27">
        <v>82</v>
      </c>
      <c r="C43" s="10">
        <v>24479</v>
      </c>
      <c r="D43" s="13">
        <v>2019</v>
      </c>
      <c r="G43" s="42">
        <v>42</v>
      </c>
      <c r="H43" t="s">
        <v>275</v>
      </c>
      <c r="I43" s="43">
        <v>78.7</v>
      </c>
      <c r="J43">
        <v>2020</v>
      </c>
      <c r="K43">
        <f>IFERROR(VLOOKUP("*"&amp;Table38[[#This Row],[Country]]&amp;"*",Table6[],3,FALSE),0)</f>
        <v>33221</v>
      </c>
      <c r="L43">
        <f>CORREL(Table38[Life expectancy at birth],Table38[GDP - per capita (PPP)])</f>
        <v>0.66243787801142506</v>
      </c>
      <c r="M43">
        <f>(Table38[[#This Row],[Life expectancy at birth]]-$I$199)/$I$201</f>
        <v>0.80379746835443033</v>
      </c>
      <c r="N43" s="28">
        <f>(Table38[[#This Row],[GDP - per capita (PPP)]]-$K$199)/$K$201</f>
        <v>0.34128476181670619</v>
      </c>
    </row>
    <row r="44" spans="1:14" x14ac:dyDescent="0.25">
      <c r="A44" s="13" t="s">
        <v>54</v>
      </c>
      <c r="B44" s="27">
        <v>51</v>
      </c>
      <c r="C44" s="10">
        <v>39545</v>
      </c>
      <c r="D44" s="13">
        <v>2019</v>
      </c>
      <c r="G44" s="42">
        <v>43</v>
      </c>
      <c r="H44" t="s">
        <v>276</v>
      </c>
      <c r="I44" s="43">
        <v>78.599999999999994</v>
      </c>
      <c r="J44">
        <v>2020</v>
      </c>
      <c r="K44">
        <f>IFERROR(VLOOKUP("*"&amp;Table38[[#This Row],[Country]]&amp;"*",Table6[],3,FALSE),0)</f>
        <v>13965</v>
      </c>
      <c r="L44">
        <f>CORREL(Table38[Life expectancy at birth],Table38[GDP - per capita (PPP)])</f>
        <v>0.66243787801142506</v>
      </c>
      <c r="M44">
        <f>(Table38[[#This Row],[Life expectancy at birth]]-$I$199)/$I$201</f>
        <v>0.80063291139240478</v>
      </c>
      <c r="N44" s="28">
        <f>(Table38[[#This Row],[GDP - per capita (PPP)]]-$K$199)/$K$201</f>
        <v>0.14346472709341387</v>
      </c>
    </row>
    <row r="45" spans="1:14" x14ac:dyDescent="0.25">
      <c r="A45" s="13" t="s">
        <v>51</v>
      </c>
      <c r="B45" s="27">
        <v>48</v>
      </c>
      <c r="C45" s="10">
        <v>40862</v>
      </c>
      <c r="D45" s="13">
        <v>2019</v>
      </c>
      <c r="G45" s="42">
        <v>44</v>
      </c>
      <c r="H45" t="s">
        <v>277</v>
      </c>
      <c r="I45" s="43">
        <v>78.5</v>
      </c>
      <c r="J45">
        <v>2020</v>
      </c>
      <c r="K45">
        <f>IFERROR(VLOOKUP("*"&amp;Table38[[#This Row],[Country]]&amp;"*",Table6[],3,FALSE),0)</f>
        <v>28602</v>
      </c>
      <c r="L45">
        <f>CORREL(Table38[Life expectancy at birth],Table38[GDP - per capita (PPP)])</f>
        <v>0.66243787801142506</v>
      </c>
      <c r="M45">
        <f>(Table38[[#This Row],[Life expectancy at birth]]-$I$199)/$I$201</f>
        <v>0.79746835443037967</v>
      </c>
      <c r="N45" s="28">
        <f>(Table38[[#This Row],[GDP - per capita (PPP)]]-$K$199)/$K$201</f>
        <v>0.29383302000184919</v>
      </c>
    </row>
    <row r="46" spans="1:14" x14ac:dyDescent="0.25">
      <c r="A46" s="13" t="s">
        <v>23</v>
      </c>
      <c r="B46" s="27">
        <v>20</v>
      </c>
      <c r="C46" s="10">
        <v>57804</v>
      </c>
      <c r="D46" s="13">
        <v>2019</v>
      </c>
      <c r="G46" s="42">
        <v>45</v>
      </c>
      <c r="H46" t="s">
        <v>278</v>
      </c>
      <c r="I46" s="43">
        <v>78.5</v>
      </c>
      <c r="J46">
        <v>2020</v>
      </c>
      <c r="K46">
        <f>IFERROR(VLOOKUP("*"&amp;Table38[[#This Row],[Country]]&amp;"*",Table6[],3,FALSE),0)</f>
        <v>31459</v>
      </c>
      <c r="L46">
        <f>CORREL(Table38[Life expectancy at birth],Table38[GDP - per capita (PPP)])</f>
        <v>0.66243787801142506</v>
      </c>
      <c r="M46">
        <f>(Table38[[#This Row],[Life expectancy at birth]]-$I$199)/$I$201</f>
        <v>0.79746835443037967</v>
      </c>
      <c r="N46" s="28">
        <f>(Table38[[#This Row],[GDP - per capita (PPP)]]-$K$199)/$K$201</f>
        <v>0.32318344787910541</v>
      </c>
    </row>
    <row r="47" spans="1:14" x14ac:dyDescent="0.25">
      <c r="A47" s="11" t="s">
        <v>171</v>
      </c>
      <c r="B47" s="26">
        <v>168</v>
      </c>
      <c r="C47" s="12">
        <v>5535</v>
      </c>
      <c r="D47" s="11">
        <v>2019</v>
      </c>
      <c r="G47" s="42">
        <v>46</v>
      </c>
      <c r="H47" t="s">
        <v>279</v>
      </c>
      <c r="I47" s="43">
        <v>78.2</v>
      </c>
      <c r="J47">
        <v>2020</v>
      </c>
      <c r="K47">
        <f>IFERROR(VLOOKUP("*"&amp;Table38[[#This Row],[Country]]&amp;"*",Table6[],3,FALSE),0)</f>
        <v>11917</v>
      </c>
      <c r="L47">
        <f>CORREL(Table38[Life expectancy at birth],Table38[GDP - per capita (PPP)])</f>
        <v>0.66243787801142506</v>
      </c>
      <c r="M47">
        <f>(Table38[[#This Row],[Life expectancy at birth]]-$I$199)/$I$201</f>
        <v>0.78797468354430378</v>
      </c>
      <c r="N47" s="28">
        <f>(Table38[[#This Row],[GDP - per capita (PPP)]]-$K$199)/$K$201</f>
        <v>0.12242528841906289</v>
      </c>
    </row>
    <row r="48" spans="1:14" x14ac:dyDescent="0.25">
      <c r="A48" s="11" t="s">
        <v>137</v>
      </c>
      <c r="B48" s="26">
        <v>134</v>
      </c>
      <c r="C48" s="12">
        <v>11917</v>
      </c>
      <c r="D48" s="11">
        <v>2019</v>
      </c>
      <c r="G48" s="42">
        <v>47</v>
      </c>
      <c r="H48" t="s">
        <v>280</v>
      </c>
      <c r="I48" s="43">
        <v>78</v>
      </c>
      <c r="J48">
        <v>2020</v>
      </c>
      <c r="K48">
        <f>IFERROR(VLOOKUP("*"&amp;Table38[[#This Row],[Country]]&amp;"*",Table6[],3,FALSE),0)</f>
        <v>67119</v>
      </c>
      <c r="L48">
        <f>CORREL(Table38[Life expectancy at birth],Table38[GDP - per capita (PPP)])</f>
        <v>0.66243787801142506</v>
      </c>
      <c r="M48">
        <f>(Table38[[#This Row],[Life expectancy at birth]]-$I$199)/$I$201</f>
        <v>0.781645569620253</v>
      </c>
      <c r="N48" s="28">
        <f>(Table38[[#This Row],[GDP - per capita (PPP)]]-$K$199)/$K$201</f>
        <v>0.68952445526550987</v>
      </c>
    </row>
    <row r="49" spans="1:14" x14ac:dyDescent="0.25">
      <c r="A49" s="13" t="s">
        <v>100</v>
      </c>
      <c r="B49" s="27">
        <v>97</v>
      </c>
      <c r="C49" s="10">
        <v>18413</v>
      </c>
      <c r="D49" s="13">
        <v>2019</v>
      </c>
      <c r="G49" s="42">
        <v>48</v>
      </c>
      <c r="H49" t="s">
        <v>281</v>
      </c>
      <c r="I49" s="43">
        <v>77.900000000000006</v>
      </c>
      <c r="J49">
        <v>2020</v>
      </c>
      <c r="K49">
        <f>IFERROR(VLOOKUP("*"&amp;Table38[[#This Row],[Country]]&amp;"*",Table6[],3,FALSE),0)</f>
        <v>21561</v>
      </c>
      <c r="L49">
        <f>CORREL(Table38[Life expectancy at birth],Table38[GDP - per capita (PPP)])</f>
        <v>0.66243787801142506</v>
      </c>
      <c r="M49">
        <f>(Table38[[#This Row],[Life expectancy at birth]]-$I$199)/$I$201</f>
        <v>0.77848101265822789</v>
      </c>
      <c r="N49" s="28">
        <f>(Table38[[#This Row],[GDP - per capita (PPP)]]-$K$199)/$K$201</f>
        <v>0.22149967639535242</v>
      </c>
    </row>
    <row r="50" spans="1:14" x14ac:dyDescent="0.25">
      <c r="A50" s="13" t="s">
        <v>227</v>
      </c>
      <c r="B50" s="27">
        <v>224</v>
      </c>
      <c r="C50" s="10">
        <v>1098</v>
      </c>
      <c r="D50" s="13">
        <v>2019</v>
      </c>
      <c r="G50" s="42">
        <v>49</v>
      </c>
      <c r="H50" t="s">
        <v>282</v>
      </c>
      <c r="I50" s="43">
        <v>77.900000000000006</v>
      </c>
      <c r="J50">
        <v>2020</v>
      </c>
      <c r="K50">
        <f>IFERROR(VLOOKUP("*"&amp;Table38[[#This Row],[Country]]&amp;"*",Table6[],3,FALSE),0)</f>
        <v>27299</v>
      </c>
      <c r="L50">
        <f>CORREL(Table38[Life expectancy at birth],Table38[GDP - per capita (PPP)])</f>
        <v>0.66243787801142506</v>
      </c>
      <c r="M50">
        <f>(Table38[[#This Row],[Life expectancy at birth]]-$I$199)/$I$201</f>
        <v>0.77848101265822789</v>
      </c>
      <c r="N50" s="28">
        <f>(Table38[[#This Row],[GDP - per capita (PPP)]]-$K$199)/$K$201</f>
        <v>0.28044708807182994</v>
      </c>
    </row>
    <row r="51" spans="1:14" x14ac:dyDescent="0.25">
      <c r="A51" s="11" t="s">
        <v>191</v>
      </c>
      <c r="B51" s="26">
        <v>188</v>
      </c>
      <c r="C51" s="12">
        <v>3553</v>
      </c>
      <c r="D51" s="11">
        <v>2019</v>
      </c>
      <c r="G51" s="42">
        <v>50</v>
      </c>
      <c r="H51" t="s">
        <v>283</v>
      </c>
      <c r="I51" s="43">
        <v>77.7</v>
      </c>
      <c r="J51">
        <v>2020</v>
      </c>
      <c r="K51">
        <f>IFERROR(VLOOKUP("*"&amp;Table38[[#This Row],[Country]]&amp;"*",Table6[],3,FALSE),0)</f>
        <v>28424</v>
      </c>
      <c r="L51">
        <f>CORREL(Table38[Life expectancy at birth],Table38[GDP - per capita (PPP)])</f>
        <v>0.66243787801142506</v>
      </c>
      <c r="M51">
        <f>(Table38[[#This Row],[Life expectancy at birth]]-$I$199)/$I$201</f>
        <v>0.77215189873417722</v>
      </c>
      <c r="N51" s="28">
        <f>(Table38[[#This Row],[GDP - per capita (PPP)]]-$K$199)/$K$201</f>
        <v>0.2920043969139417</v>
      </c>
    </row>
    <row r="52" spans="1:14" x14ac:dyDescent="0.25">
      <c r="A52" s="11" t="s">
        <v>143</v>
      </c>
      <c r="B52" s="26">
        <v>140</v>
      </c>
      <c r="C52" s="12">
        <v>11375</v>
      </c>
      <c r="D52" s="11">
        <v>2019</v>
      </c>
      <c r="G52" s="42">
        <v>51</v>
      </c>
      <c r="H52" t="s">
        <v>284</v>
      </c>
      <c r="I52" s="43">
        <v>77.5</v>
      </c>
      <c r="J52">
        <v>2020</v>
      </c>
      <c r="K52">
        <f>IFERROR(VLOOKUP("*"&amp;Table38[[#This Row],[Country]]&amp;"*",Table6[],3,FALSE),0)</f>
        <v>32730</v>
      </c>
      <c r="L52">
        <f>CORREL(Table38[Life expectancy at birth],Table38[GDP - per capita (PPP)])</f>
        <v>0.66243787801142506</v>
      </c>
      <c r="M52">
        <f>(Table38[[#This Row],[Life expectancy at birth]]-$I$199)/$I$201</f>
        <v>0.76582278481012644</v>
      </c>
      <c r="N52" s="28">
        <f>(Table38[[#This Row],[GDP - per capita (PPP)]]-$K$199)/$K$201</f>
        <v>0.33624063857983788</v>
      </c>
    </row>
    <row r="53" spans="1:14" x14ac:dyDescent="0.25">
      <c r="A53" s="13" t="s">
        <v>140</v>
      </c>
      <c r="B53" s="27">
        <v>137</v>
      </c>
      <c r="C53" s="10">
        <v>11763</v>
      </c>
      <c r="D53" s="13">
        <v>2019</v>
      </c>
      <c r="G53" s="42">
        <v>52</v>
      </c>
      <c r="H53" t="s">
        <v>285</v>
      </c>
      <c r="I53" s="43">
        <v>77.400000000000006</v>
      </c>
      <c r="J53">
        <v>2020</v>
      </c>
      <c r="K53">
        <f>IFERROR(VLOOKUP("*"&amp;Table38[[#This Row],[Country]]&amp;"*",Table6[],3,FALSE),0)</f>
        <v>14912</v>
      </c>
      <c r="L53">
        <f>CORREL(Table38[Life expectancy at birth],Table38[GDP - per capita (PPP)])</f>
        <v>0.66243787801142506</v>
      </c>
      <c r="M53">
        <f>(Table38[[#This Row],[Life expectancy at birth]]-$I$199)/$I$201</f>
        <v>0.76265822784810133</v>
      </c>
      <c r="N53" s="28">
        <f>(Table38[[#This Row],[GDP - per capita (PPP)]]-$K$199)/$K$201</f>
        <v>0.15319341284761817</v>
      </c>
    </row>
    <row r="54" spans="1:14" x14ac:dyDescent="0.25">
      <c r="A54" s="11" t="s">
        <v>152</v>
      </c>
      <c r="B54" s="26">
        <v>149</v>
      </c>
      <c r="C54" s="12">
        <v>8776</v>
      </c>
      <c r="D54" s="11">
        <v>2019</v>
      </c>
      <c r="G54" s="42">
        <v>53</v>
      </c>
      <c r="H54" t="s">
        <v>286</v>
      </c>
      <c r="I54" s="43">
        <v>77.3</v>
      </c>
      <c r="J54">
        <v>2020</v>
      </c>
      <c r="K54">
        <f>IFERROR(VLOOKUP("*"&amp;Table38[[#This Row],[Country]]&amp;"*",Table6[],3,FALSE),0)</f>
        <v>45011</v>
      </c>
      <c r="L54">
        <f>CORREL(Table38[Life expectancy at birth],Table38[GDP - per capita (PPP)])</f>
        <v>0.66243787801142506</v>
      </c>
      <c r="M54">
        <f>(Table38[[#This Row],[Life expectancy at birth]]-$I$199)/$I$201</f>
        <v>0.75949367088607578</v>
      </c>
      <c r="N54" s="28">
        <f>(Table38[[#This Row],[GDP - per capita (PPP)]]-$K$199)/$K$201</f>
        <v>0.4624053584820374</v>
      </c>
    </row>
    <row r="55" spans="1:14" x14ac:dyDescent="0.25">
      <c r="A55" s="13" t="s">
        <v>98</v>
      </c>
      <c r="B55" s="27">
        <v>95</v>
      </c>
      <c r="C55" s="10">
        <v>18558</v>
      </c>
      <c r="D55" s="13">
        <v>2019</v>
      </c>
      <c r="G55" s="42">
        <v>54</v>
      </c>
      <c r="H55" t="s">
        <v>287</v>
      </c>
      <c r="I55" s="43">
        <v>77.3</v>
      </c>
      <c r="J55">
        <v>2020</v>
      </c>
      <c r="K55">
        <f>IFERROR(VLOOKUP("*"&amp;Table38[[#This Row],[Country]]&amp;"*",Table6[],3,FALSE),0)</f>
        <v>14722</v>
      </c>
      <c r="L55">
        <f>CORREL(Table38[Life expectancy at birth],Table38[GDP - per capita (PPP)])</f>
        <v>0.66243787801142506</v>
      </c>
      <c r="M55">
        <f>(Table38[[#This Row],[Life expectancy at birth]]-$I$199)/$I$201</f>
        <v>0.75949367088607578</v>
      </c>
      <c r="N55" s="28">
        <f>(Table38[[#This Row],[GDP - per capita (PPP)]]-$K$199)/$K$201</f>
        <v>0.15124151179872819</v>
      </c>
    </row>
    <row r="56" spans="1:14" x14ac:dyDescent="0.25">
      <c r="A56" s="13" t="s">
        <v>220</v>
      </c>
      <c r="B56" s="27">
        <v>217</v>
      </c>
      <c r="C56" s="10">
        <v>1600</v>
      </c>
      <c r="D56" s="13">
        <v>2019</v>
      </c>
      <c r="G56" s="42">
        <v>55</v>
      </c>
      <c r="H56" t="s">
        <v>288</v>
      </c>
      <c r="I56" s="43">
        <v>77.2</v>
      </c>
      <c r="J56">
        <v>2020</v>
      </c>
      <c r="K56">
        <f>IFERROR(VLOOKUP("*"&amp;Table38[[#This Row],[Country]]&amp;"*",Table6[],3,FALSE),0)</f>
        <v>18460</v>
      </c>
      <c r="L56">
        <f>CORREL(Table38[Life expectancy at birth],Table38[GDP - per capita (PPP)])</f>
        <v>0.66243787801142506</v>
      </c>
      <c r="M56">
        <f>(Table38[[#This Row],[Life expectancy at birth]]-$I$199)/$I$201</f>
        <v>0.75632911392405056</v>
      </c>
      <c r="N56" s="28">
        <f>(Table38[[#This Row],[GDP - per capita (PPP)]]-$K$199)/$K$201</f>
        <v>0.18964259664478483</v>
      </c>
    </row>
    <row r="57" spans="1:14" x14ac:dyDescent="0.25">
      <c r="A57" s="13" t="s">
        <v>60</v>
      </c>
      <c r="B57" s="27">
        <v>57</v>
      </c>
      <c r="C57" s="10">
        <v>36927</v>
      </c>
      <c r="D57" s="13">
        <v>2019</v>
      </c>
      <c r="G57" s="42">
        <v>56</v>
      </c>
      <c r="H57" t="s">
        <v>289</v>
      </c>
      <c r="I57" s="43">
        <v>77</v>
      </c>
      <c r="J57">
        <v>2020</v>
      </c>
      <c r="K57">
        <f>IFERROR(VLOOKUP("*"&amp;Table38[[#This Row],[Country]]&amp;"*",Table6[],3,FALSE),0)</f>
        <v>13078</v>
      </c>
      <c r="L57">
        <f>CORREL(Table38[Life expectancy at birth],Table38[GDP - per capita (PPP)])</f>
        <v>0.66243787801142506</v>
      </c>
      <c r="M57">
        <f>(Table38[[#This Row],[Life expectancy at birth]]-$I$199)/$I$201</f>
        <v>0.74999999999999989</v>
      </c>
      <c r="N57" s="28">
        <f>(Table38[[#This Row],[GDP - per capita (PPP)]]-$K$199)/$K$201</f>
        <v>0.13435243114412221</v>
      </c>
    </row>
    <row r="58" spans="1:14" x14ac:dyDescent="0.25">
      <c r="A58" s="13" t="s">
        <v>155</v>
      </c>
      <c r="B58" s="27">
        <v>152</v>
      </c>
      <c r="C58" s="10">
        <v>8622</v>
      </c>
      <c r="D58" s="13">
        <v>2019</v>
      </c>
      <c r="G58" s="42">
        <v>57</v>
      </c>
      <c r="H58" t="s">
        <v>290</v>
      </c>
      <c r="I58" s="43">
        <v>77</v>
      </c>
      <c r="J58">
        <v>2020</v>
      </c>
      <c r="K58">
        <f>IFERROR(VLOOKUP("*"&amp;Table38[[#This Row],[Country]]&amp;"*",Table6[],3,FALSE),0)</f>
        <v>21910</v>
      </c>
      <c r="L58">
        <f>CORREL(Table38[Life expectancy at birth],Table38[GDP - per capita (PPP)])</f>
        <v>0.66243787801142506</v>
      </c>
      <c r="M58">
        <f>(Table38[[#This Row],[Life expectancy at birth]]-$I$199)/$I$201</f>
        <v>0.74999999999999989</v>
      </c>
      <c r="N58" s="28">
        <f>(Table38[[#This Row],[GDP - per capita (PPP)]]-$K$199)/$K$201</f>
        <v>0.22508501042726087</v>
      </c>
    </row>
    <row r="59" spans="1:14" x14ac:dyDescent="0.25">
      <c r="A59" s="11" t="s">
        <v>212</v>
      </c>
      <c r="B59" s="26">
        <v>209</v>
      </c>
      <c r="C59" s="12">
        <v>2221</v>
      </c>
      <c r="D59" s="11">
        <v>2019</v>
      </c>
      <c r="G59" s="42">
        <v>58</v>
      </c>
      <c r="H59" t="s">
        <v>291</v>
      </c>
      <c r="I59" s="43">
        <v>77</v>
      </c>
      <c r="J59">
        <v>2020</v>
      </c>
      <c r="K59">
        <f>IFERROR(VLOOKUP("*"&amp;Table38[[#This Row],[Country]]&amp;"*",Table6[],3,FALSE),0)</f>
        <v>11375</v>
      </c>
      <c r="L59">
        <f>CORREL(Table38[Life expectancy at birth],Table38[GDP - per capita (PPP)])</f>
        <v>0.66243787801142506</v>
      </c>
      <c r="M59">
        <f>(Table38[[#This Row],[Life expectancy at birth]]-$I$199)/$I$201</f>
        <v>0.74999999999999989</v>
      </c>
      <c r="N59" s="28">
        <f>(Table38[[#This Row],[GDP - per capita (PPP)]]-$K$199)/$K$201</f>
        <v>0.11685723384801883</v>
      </c>
    </row>
    <row r="60" spans="1:14" x14ac:dyDescent="0.25">
      <c r="A60" s="11" t="s">
        <v>43</v>
      </c>
      <c r="B60" s="26">
        <v>40</v>
      </c>
      <c r="C60" s="12">
        <v>44436</v>
      </c>
      <c r="D60" s="11">
        <v>2019</v>
      </c>
      <c r="G60" s="42">
        <v>59</v>
      </c>
      <c r="H60" t="s">
        <v>292</v>
      </c>
      <c r="I60" s="43">
        <v>76.900000000000006</v>
      </c>
      <c r="J60">
        <v>2020</v>
      </c>
      <c r="K60">
        <f>IFERROR(VLOOKUP("*"&amp;Table38[[#This Row],[Country]]&amp;"*",Table6[],3,FALSE),0)</f>
        <v>32945</v>
      </c>
      <c r="L60">
        <f>CORREL(Table38[Life expectancy at birth],Table38[GDP - per capita (PPP)])</f>
        <v>0.66243787801142506</v>
      </c>
      <c r="M60">
        <f>(Table38[[#This Row],[Life expectancy at birth]]-$I$199)/$I$201</f>
        <v>0.74683544303797478</v>
      </c>
      <c r="N60" s="28">
        <f>(Table38[[#This Row],[GDP - per capita (PPP)]]-$K$199)/$K$201</f>
        <v>0.33844936871410813</v>
      </c>
    </row>
    <row r="61" spans="1:14" x14ac:dyDescent="0.25">
      <c r="A61" s="11" t="s">
        <v>123</v>
      </c>
      <c r="B61" s="26">
        <v>120</v>
      </c>
      <c r="C61" s="12">
        <v>13684</v>
      </c>
      <c r="D61" s="11">
        <v>2019</v>
      </c>
      <c r="G61" s="42">
        <v>60</v>
      </c>
      <c r="H61" t="s">
        <v>293</v>
      </c>
      <c r="I61" s="43">
        <v>76.900000000000006</v>
      </c>
      <c r="J61">
        <v>2020</v>
      </c>
      <c r="K61">
        <f>IFERROR(VLOOKUP("*"&amp;Table38[[#This Row],[Country]]&amp;"*",Table6[],3,FALSE),0)</f>
        <v>21470</v>
      </c>
      <c r="L61">
        <f>CORREL(Table38[Life expectancy at birth],Table38[GDP - per capita (PPP)])</f>
        <v>0.66243787801142506</v>
      </c>
      <c r="M61">
        <f>(Table38[[#This Row],[Life expectancy at birth]]-$I$199)/$I$201</f>
        <v>0.74683544303797478</v>
      </c>
      <c r="N61" s="28">
        <f>(Table38[[#This Row],[GDP - per capita (PPP)]]-$K$199)/$K$201</f>
        <v>0.22056481852456827</v>
      </c>
    </row>
    <row r="62" spans="1:14" x14ac:dyDescent="0.25">
      <c r="A62" s="13" t="s">
        <v>37</v>
      </c>
      <c r="B62" s="27">
        <v>34</v>
      </c>
      <c r="C62" s="10">
        <v>48668</v>
      </c>
      <c r="D62" s="13">
        <v>2019</v>
      </c>
      <c r="G62" s="42">
        <v>61</v>
      </c>
      <c r="H62" t="s">
        <v>294</v>
      </c>
      <c r="I62" s="43">
        <v>76.900000000000006</v>
      </c>
      <c r="J62">
        <v>2020</v>
      </c>
      <c r="K62">
        <f>IFERROR(VLOOKUP("*"&amp;Table38[[#This Row],[Country]]&amp;"*",Table6[],3,FALSE),0)</f>
        <v>16117</v>
      </c>
      <c r="L62">
        <f>CORREL(Table38[Life expectancy at birth],Table38[GDP - per capita (PPP)])</f>
        <v>0.66243787801142506</v>
      </c>
      <c r="M62">
        <f>(Table38[[#This Row],[Life expectancy at birth]]-$I$199)/$I$201</f>
        <v>0.74683544303797478</v>
      </c>
      <c r="N62" s="28">
        <f>(Table38[[#This Row],[GDP - per capita (PPP)]]-$K$199)/$K$201</f>
        <v>0.16557257476294676</v>
      </c>
    </row>
    <row r="63" spans="1:14" x14ac:dyDescent="0.25">
      <c r="A63" s="11" t="s">
        <v>41</v>
      </c>
      <c r="B63" s="26">
        <v>38</v>
      </c>
      <c r="C63" s="12">
        <v>46184</v>
      </c>
      <c r="D63" s="11">
        <v>2019</v>
      </c>
      <c r="G63" s="42">
        <v>62</v>
      </c>
      <c r="H63" t="s">
        <v>295</v>
      </c>
      <c r="I63" s="43">
        <v>76.900000000000006</v>
      </c>
      <c r="J63">
        <v>2020</v>
      </c>
      <c r="K63">
        <f>IFERROR(VLOOKUP("*"&amp;Table38[[#This Row],[Country]]&amp;"*",Table6[],3,FALSE),0)</f>
        <v>11511</v>
      </c>
      <c r="L63">
        <f>CORREL(Table38[Life expectancy at birth],Table38[GDP - per capita (PPP)])</f>
        <v>0.66243787801142506</v>
      </c>
      <c r="M63">
        <f>(Table38[[#This Row],[Life expectancy at birth]]-$I$199)/$I$201</f>
        <v>0.74683544303797478</v>
      </c>
      <c r="N63" s="28">
        <f>(Table38[[#This Row],[GDP - per capita (PPP)]]-$K$199)/$K$201</f>
        <v>0.11825438407248744</v>
      </c>
    </row>
    <row r="64" spans="1:14" x14ac:dyDescent="0.25">
      <c r="A64" s="13" t="s">
        <v>115</v>
      </c>
      <c r="B64" s="27">
        <v>112</v>
      </c>
      <c r="C64" s="10">
        <v>14950</v>
      </c>
      <c r="D64" s="13">
        <v>2019</v>
      </c>
      <c r="G64" s="42">
        <v>63</v>
      </c>
      <c r="H64" t="s">
        <v>296</v>
      </c>
      <c r="I64" s="43">
        <v>76.7</v>
      </c>
      <c r="J64">
        <v>2020</v>
      </c>
      <c r="K64">
        <f>IFERROR(VLOOKUP("*"&amp;Table38[[#This Row],[Country]]&amp;"*",Table6[],3,FALSE),0)</f>
        <v>22064</v>
      </c>
      <c r="L64">
        <f>CORREL(Table38[Life expectancy at birth],Table38[GDP - per capita (PPP)])</f>
        <v>0.66243787801142506</v>
      </c>
      <c r="M64">
        <f>(Table38[[#This Row],[Life expectancy at birth]]-$I$199)/$I$201</f>
        <v>0.740506329113924</v>
      </c>
      <c r="N64" s="28">
        <f>(Table38[[#This Row],[GDP - per capita (PPP)]]-$K$199)/$K$201</f>
        <v>0.22666707759320329</v>
      </c>
    </row>
    <row r="65" spans="1:14" x14ac:dyDescent="0.25">
      <c r="A65" s="13" t="s">
        <v>211</v>
      </c>
      <c r="B65" s="27">
        <v>208</v>
      </c>
      <c r="C65" s="10">
        <v>2223</v>
      </c>
      <c r="D65" s="13">
        <v>2019</v>
      </c>
      <c r="G65" s="42">
        <v>64</v>
      </c>
      <c r="H65" t="s">
        <v>297</v>
      </c>
      <c r="I65" s="43">
        <v>76.7</v>
      </c>
      <c r="J65">
        <v>2020</v>
      </c>
      <c r="K65">
        <f>IFERROR(VLOOKUP("*"&amp;Table38[[#This Row],[Country]]&amp;"*",Table6[],3,FALSE),0)</f>
        <v>12389</v>
      </c>
      <c r="L65">
        <f>CORREL(Table38[Life expectancy at birth],Table38[GDP - per capita (PPP)])</f>
        <v>0.66243787801142506</v>
      </c>
      <c r="M65">
        <f>(Table38[[#This Row],[Life expectancy at birth]]-$I$199)/$I$201</f>
        <v>0.740506329113924</v>
      </c>
      <c r="N65" s="28">
        <f>(Table38[[#This Row],[GDP - per capita (PPP)]]-$K$199)/$K$201</f>
        <v>0.1272742215510422</v>
      </c>
    </row>
    <row r="66" spans="1:14" x14ac:dyDescent="0.25">
      <c r="A66" s="11" t="s">
        <v>114</v>
      </c>
      <c r="B66" s="26">
        <v>111</v>
      </c>
      <c r="C66" s="12">
        <v>14992</v>
      </c>
      <c r="D66" s="11">
        <v>2019</v>
      </c>
      <c r="G66" s="42">
        <v>65</v>
      </c>
      <c r="H66" t="s">
        <v>298</v>
      </c>
      <c r="I66" s="43">
        <v>76.7</v>
      </c>
      <c r="J66">
        <v>2020</v>
      </c>
      <c r="K66">
        <f>IFERROR(VLOOKUP("*"&amp;Table38[[#This Row],[Country]]&amp;"*",Table6[],3,FALSE),0)</f>
        <v>12848</v>
      </c>
      <c r="L66">
        <f>CORREL(Table38[Life expectancy at birth],Table38[GDP - per capita (PPP)])</f>
        <v>0.66243787801142506</v>
      </c>
      <c r="M66">
        <f>(Table38[[#This Row],[Life expectancy at birth]]-$I$199)/$I$201</f>
        <v>0.740506329113924</v>
      </c>
      <c r="N66" s="28">
        <f>(Table38[[#This Row],[GDP - per capita (PPP)]]-$K$199)/$K$201</f>
        <v>0.1319896035586238</v>
      </c>
    </row>
    <row r="67" spans="1:14" x14ac:dyDescent="0.25">
      <c r="A67" s="13" t="s">
        <v>28</v>
      </c>
      <c r="B67" s="27">
        <v>25</v>
      </c>
      <c r="C67" s="10">
        <v>53919</v>
      </c>
      <c r="D67" s="13">
        <v>2019</v>
      </c>
      <c r="G67" s="42">
        <v>66</v>
      </c>
      <c r="H67" t="s">
        <v>299</v>
      </c>
      <c r="I67" s="43">
        <v>76.7</v>
      </c>
      <c r="J67">
        <v>2020</v>
      </c>
      <c r="K67">
        <f>IFERROR(VLOOKUP("*"&amp;Table38[[#This Row],[Country]]&amp;"*",Table6[],3,FALSE),0)</f>
        <v>10756</v>
      </c>
      <c r="L67">
        <f>CORREL(Table38[Life expectancy at birth],Table38[GDP - per capita (PPP)])</f>
        <v>0.66243787801142506</v>
      </c>
      <c r="M67">
        <f>(Table38[[#This Row],[Life expectancy at birth]]-$I$199)/$I$201</f>
        <v>0.740506329113924</v>
      </c>
      <c r="N67" s="28">
        <f>(Table38[[#This Row],[GDP - per capita (PPP)]]-$K$199)/$K$201</f>
        <v>0.11049814569400356</v>
      </c>
    </row>
    <row r="68" spans="1:14" x14ac:dyDescent="0.25">
      <c r="A68" s="13" t="s">
        <v>172</v>
      </c>
      <c r="B68" s="27">
        <v>169</v>
      </c>
      <c r="C68" s="10">
        <v>5413</v>
      </c>
      <c r="D68" s="13">
        <v>2019</v>
      </c>
      <c r="G68" s="42">
        <v>67</v>
      </c>
      <c r="H68" t="s">
        <v>300</v>
      </c>
      <c r="I68" s="43">
        <v>76.7</v>
      </c>
      <c r="J68">
        <v>2020</v>
      </c>
      <c r="K68">
        <f>IFERROR(VLOOKUP("*"&amp;Table38[[#This Row],[Country]]&amp;"*",Table6[],3,FALSE),0)</f>
        <v>7515</v>
      </c>
      <c r="L68">
        <f>CORREL(Table38[Life expectancy at birth],Table38[GDP - per capita (PPP)])</f>
        <v>0.66243787801142506</v>
      </c>
      <c r="M68">
        <f>(Table38[[#This Row],[Life expectancy at birth]]-$I$199)/$I$201</f>
        <v>0.740506329113924</v>
      </c>
      <c r="N68" s="28">
        <f>(Table38[[#This Row],[GDP - per capita (PPP)]]-$K$199)/$K$201</f>
        <v>7.72028230653065E-2</v>
      </c>
    </row>
    <row r="69" spans="1:14" x14ac:dyDescent="0.25">
      <c r="A69" s="11" t="s">
        <v>73</v>
      </c>
      <c r="B69" s="26">
        <v>70</v>
      </c>
      <c r="C69" s="12">
        <v>29799</v>
      </c>
      <c r="D69" s="11">
        <v>2019</v>
      </c>
      <c r="G69" s="42">
        <v>68</v>
      </c>
      <c r="H69" t="s">
        <v>301</v>
      </c>
      <c r="I69" s="43">
        <v>76.2</v>
      </c>
      <c r="J69">
        <v>2020</v>
      </c>
      <c r="K69">
        <f>IFERROR(VLOOKUP("*"&amp;Table38[[#This Row],[Country]]&amp;"*",Table6[],3,FALSE),0)</f>
        <v>28364</v>
      </c>
      <c r="L69">
        <f>CORREL(Table38[Life expectancy at birth],Table38[GDP - per capita (PPP)])</f>
        <v>0.66243787801142506</v>
      </c>
      <c r="M69">
        <f>(Table38[[#This Row],[Life expectancy at birth]]-$I$199)/$I$201</f>
        <v>0.72468354430379744</v>
      </c>
      <c r="N69" s="28">
        <f>(Table38[[#This Row],[GDP - per capita (PPP)]]-$K$199)/$K$201</f>
        <v>0.29138800710902907</v>
      </c>
    </row>
    <row r="70" spans="1:14" x14ac:dyDescent="0.25">
      <c r="A70" s="13" t="s">
        <v>105</v>
      </c>
      <c r="B70" s="27">
        <v>102</v>
      </c>
      <c r="C70" s="10">
        <v>17039</v>
      </c>
      <c r="D70" s="13">
        <v>2019</v>
      </c>
      <c r="G70" s="42">
        <v>69</v>
      </c>
      <c r="H70" t="s">
        <v>302</v>
      </c>
      <c r="I70" s="43">
        <v>76.2</v>
      </c>
      <c r="J70">
        <v>2020</v>
      </c>
      <c r="K70">
        <f>IFERROR(VLOOKUP("*"&amp;Table38[[#This Row],[Country]]&amp;"*",Table6[],3,FALSE),0)</f>
        <v>15449</v>
      </c>
      <c r="L70">
        <f>CORREL(Table38[Life expectancy at birth],Table38[GDP - per capita (PPP)])</f>
        <v>0.66243787801142506</v>
      </c>
      <c r="M70">
        <f>(Table38[[#This Row],[Life expectancy at birth]]-$I$199)/$I$201</f>
        <v>0.72468354430379744</v>
      </c>
      <c r="N70" s="28">
        <f>(Table38[[#This Row],[GDP - per capita (PPP)]]-$K$199)/$K$201</f>
        <v>0.15871010160158619</v>
      </c>
    </row>
    <row r="71" spans="1:14" x14ac:dyDescent="0.25">
      <c r="A71" s="11" t="s">
        <v>154</v>
      </c>
      <c r="B71" s="26">
        <v>151</v>
      </c>
      <c r="C71" s="12">
        <v>8637</v>
      </c>
      <c r="D71" s="11">
        <v>2019</v>
      </c>
      <c r="G71" s="42">
        <v>70</v>
      </c>
      <c r="H71" t="s">
        <v>303</v>
      </c>
      <c r="I71" s="43">
        <v>76.099999999999994</v>
      </c>
      <c r="J71">
        <v>2020</v>
      </c>
      <c r="K71">
        <f>IFERROR(VLOOKUP("*"&amp;Table38[[#This Row],[Country]]&amp;"*",Table6[],3,FALSE),0)</f>
        <v>29941</v>
      </c>
      <c r="L71">
        <f>CORREL(Table38[Life expectancy at birth],Table38[GDP - per capita (PPP)])</f>
        <v>0.66243787801142506</v>
      </c>
      <c r="M71">
        <f>(Table38[[#This Row],[Life expectancy at birth]]-$I$199)/$I$201</f>
        <v>0.72151898734177189</v>
      </c>
      <c r="N71" s="28">
        <f>(Table38[[#This Row],[GDP - per capita (PPP)]]-$K$199)/$K$201</f>
        <v>0.30758878581481597</v>
      </c>
    </row>
    <row r="72" spans="1:14" x14ac:dyDescent="0.25">
      <c r="A72" s="13" t="s">
        <v>206</v>
      </c>
      <c r="B72" s="27">
        <v>203</v>
      </c>
      <c r="C72" s="10">
        <v>2562</v>
      </c>
      <c r="D72" s="13">
        <v>2019</v>
      </c>
      <c r="G72" s="42">
        <v>71</v>
      </c>
      <c r="H72" t="s">
        <v>304</v>
      </c>
      <c r="I72" s="43">
        <v>76</v>
      </c>
      <c r="J72">
        <v>2020</v>
      </c>
      <c r="K72">
        <f>IFERROR(VLOOKUP("*"&amp;Table38[[#This Row],[Country]]&amp;"*",Table6[],3,FALSE),0)</f>
        <v>18233</v>
      </c>
      <c r="L72">
        <f>CORREL(Table38[Life expectancy at birth],Table38[GDP - per capita (PPP)])</f>
        <v>0.66243787801142506</v>
      </c>
      <c r="M72">
        <f>(Table38[[#This Row],[Life expectancy at birth]]-$I$199)/$I$201</f>
        <v>0.71835443037974678</v>
      </c>
      <c r="N72" s="28">
        <f>(Table38[[#This Row],[GDP - per capita (PPP)]]-$K$199)/$K$201</f>
        <v>0.18731058854953206</v>
      </c>
    </row>
    <row r="73" spans="1:14" x14ac:dyDescent="0.25">
      <c r="A73" s="11" t="s">
        <v>216</v>
      </c>
      <c r="B73" s="26">
        <v>213</v>
      </c>
      <c r="C73" s="12">
        <v>1989</v>
      </c>
      <c r="D73" s="11">
        <v>2019</v>
      </c>
      <c r="G73" s="42">
        <v>72</v>
      </c>
      <c r="H73" t="s">
        <v>305</v>
      </c>
      <c r="I73" s="43">
        <v>75.900000000000006</v>
      </c>
      <c r="J73">
        <v>2020</v>
      </c>
      <c r="K73">
        <f>IFERROR(VLOOKUP("*"&amp;Table38[[#This Row],[Country]]&amp;"*",Table6[],3,FALSE),0)</f>
        <v>37231</v>
      </c>
      <c r="L73">
        <f>CORREL(Table38[Life expectancy at birth],Table38[GDP - per capita (PPP)])</f>
        <v>0.66243787801142506</v>
      </c>
      <c r="M73">
        <f>(Table38[[#This Row],[Life expectancy at birth]]-$I$199)/$I$201</f>
        <v>0.71518987341772156</v>
      </c>
      <c r="N73" s="28">
        <f>(Table38[[#This Row],[GDP - per capita (PPP)]]-$K$199)/$K$201</f>
        <v>0.38248014711170009</v>
      </c>
    </row>
    <row r="74" spans="1:14" x14ac:dyDescent="0.25">
      <c r="A74" s="11" t="s">
        <v>125</v>
      </c>
      <c r="B74" s="26">
        <v>122</v>
      </c>
      <c r="C74" s="12">
        <v>13082</v>
      </c>
      <c r="D74" s="11">
        <v>2019</v>
      </c>
      <c r="G74" s="42">
        <v>73</v>
      </c>
      <c r="H74" t="s">
        <v>306</v>
      </c>
      <c r="I74" s="43">
        <v>75.900000000000006</v>
      </c>
      <c r="J74">
        <v>2020</v>
      </c>
      <c r="K74">
        <f>IFERROR(VLOOKUP("*"&amp;Table38[[#This Row],[Country]]&amp;"*",Table6[],3,FALSE),0)</f>
        <v>62100</v>
      </c>
      <c r="L74">
        <f>CORREL(Table38[Life expectancy at birth],Table38[GDP - per capita (PPP)])</f>
        <v>0.66243787801142506</v>
      </c>
      <c r="M74">
        <f>(Table38[[#This Row],[Life expectancy at birth]]-$I$199)/$I$201</f>
        <v>0.71518987341772156</v>
      </c>
      <c r="N74" s="28">
        <f>(Table38[[#This Row],[GDP - per capita (PPP)]]-$K$199)/$K$201</f>
        <v>0.63796344808456873</v>
      </c>
    </row>
    <row r="75" spans="1:14" x14ac:dyDescent="0.25">
      <c r="A75" s="11" t="s">
        <v>200</v>
      </c>
      <c r="B75" s="26">
        <v>197</v>
      </c>
      <c r="C75" s="12">
        <v>2905</v>
      </c>
      <c r="D75" s="11">
        <v>2019</v>
      </c>
      <c r="G75" s="42">
        <v>74</v>
      </c>
      <c r="H75" t="s">
        <v>307</v>
      </c>
      <c r="I75" s="43">
        <v>75.900000000000006</v>
      </c>
      <c r="J75">
        <v>2020</v>
      </c>
      <c r="K75">
        <f>IFERROR(VLOOKUP("*"&amp;Table38[[#This Row],[Country]]&amp;"*",Table6[],3,FALSE),0)</f>
        <v>14652</v>
      </c>
      <c r="L75">
        <f>CORREL(Table38[Life expectancy at birth],Table38[GDP - per capita (PPP)])</f>
        <v>0.66243787801142506</v>
      </c>
      <c r="M75">
        <f>(Table38[[#This Row],[Life expectancy at birth]]-$I$199)/$I$201</f>
        <v>0.71518987341772156</v>
      </c>
      <c r="N75" s="28">
        <f>(Table38[[#This Row],[GDP - per capita (PPP)]]-$K$199)/$K$201</f>
        <v>0.15052239035966344</v>
      </c>
    </row>
    <row r="76" spans="1:14" x14ac:dyDescent="0.25">
      <c r="A76" s="13" t="s">
        <v>170</v>
      </c>
      <c r="B76" s="27">
        <v>167</v>
      </c>
      <c r="C76" s="10">
        <v>5728</v>
      </c>
      <c r="D76" s="13">
        <v>2019</v>
      </c>
      <c r="G76" s="42">
        <v>75</v>
      </c>
      <c r="H76" t="s">
        <v>308</v>
      </c>
      <c r="I76" s="43">
        <v>75.8</v>
      </c>
      <c r="J76">
        <v>2020</v>
      </c>
      <c r="K76">
        <f>IFERROR(VLOOKUP("*"&amp;Table38[[#This Row],[Country]]&amp;"*",Table6[],3,FALSE),0)</f>
        <v>16479</v>
      </c>
      <c r="L76">
        <f>CORREL(Table38[Life expectancy at birth],Table38[GDP - per capita (PPP)])</f>
        <v>0.66243787801142506</v>
      </c>
      <c r="M76">
        <f>(Table38[[#This Row],[Life expectancy at birth]]-$I$199)/$I$201</f>
        <v>0.712025316455696</v>
      </c>
      <c r="N76" s="28">
        <f>(Table38[[#This Row],[GDP - per capita (PPP)]]-$K$199)/$K$201</f>
        <v>0.16929145991925293</v>
      </c>
    </row>
    <row r="77" spans="1:14" x14ac:dyDescent="0.25">
      <c r="A77" s="11" t="s">
        <v>21</v>
      </c>
      <c r="B77" s="26">
        <v>18</v>
      </c>
      <c r="C77" s="12">
        <v>59848</v>
      </c>
      <c r="D77" s="11">
        <v>2019</v>
      </c>
      <c r="G77" s="42">
        <v>76</v>
      </c>
      <c r="H77" t="s">
        <v>309</v>
      </c>
      <c r="I77" s="43">
        <v>75.599999999999994</v>
      </c>
      <c r="J77">
        <v>2020</v>
      </c>
      <c r="K77">
        <f>IFERROR(VLOOKUP("*"&amp;Table38[[#This Row],[Country]]&amp;"*",Table6[],3,FALSE),0)</f>
        <v>0</v>
      </c>
      <c r="L77">
        <f>CORREL(Table38[Life expectancy at birth],Table38[GDP - per capita (PPP)])</f>
        <v>0.66243787801142506</v>
      </c>
      <c r="M77">
        <f>(Table38[[#This Row],[Life expectancy at birth]]-$I$199)/$I$201</f>
        <v>0.70569620253164533</v>
      </c>
      <c r="N77" s="28">
        <f>(Table38[[#This Row],[GDP - per capita (PPP)]]-$K$199)/$K$201</f>
        <v>0</v>
      </c>
    </row>
    <row r="78" spans="1:14" x14ac:dyDescent="0.25">
      <c r="A78" s="13" t="s">
        <v>67</v>
      </c>
      <c r="B78" s="27">
        <v>64</v>
      </c>
      <c r="C78" s="10">
        <v>32945</v>
      </c>
      <c r="D78" s="13">
        <v>2019</v>
      </c>
      <c r="G78" s="42">
        <v>77</v>
      </c>
      <c r="H78" t="s">
        <v>310</v>
      </c>
      <c r="I78" s="43">
        <v>75.5</v>
      </c>
      <c r="J78">
        <v>2020</v>
      </c>
      <c r="K78">
        <f>IFERROR(VLOOKUP("*"&amp;Table38[[#This Row],[Country]]&amp;"*",Table6[],3,FALSE),0)</f>
        <v>49854</v>
      </c>
      <c r="L78">
        <f>CORREL(Table38[Life expectancy at birth],Table38[GDP - per capita (PPP)])</f>
        <v>0.66243787801142506</v>
      </c>
      <c r="M78">
        <f>(Table38[[#This Row],[Life expectancy at birth]]-$I$199)/$I$201</f>
        <v>0.70253164556962011</v>
      </c>
      <c r="N78" s="28">
        <f>(Table38[[#This Row],[GDP - per capita (PPP)]]-$K$199)/$K$201</f>
        <v>0.51215828890190152</v>
      </c>
    </row>
    <row r="79" spans="1:14" x14ac:dyDescent="0.25">
      <c r="A79" s="11" t="s">
        <v>27</v>
      </c>
      <c r="B79" s="26">
        <v>24</v>
      </c>
      <c r="C79" s="12">
        <v>55874</v>
      </c>
      <c r="D79" s="11">
        <v>2019</v>
      </c>
      <c r="G79" s="42">
        <v>78</v>
      </c>
      <c r="H79" t="s">
        <v>311</v>
      </c>
      <c r="I79" s="43">
        <v>75.400000000000006</v>
      </c>
      <c r="J79">
        <v>2020</v>
      </c>
      <c r="K79">
        <f>IFERROR(VLOOKUP("*"&amp;Table38[[#This Row],[Country]]&amp;"*",Table6[],3,FALSE),0)</f>
        <v>8041</v>
      </c>
      <c r="L79">
        <f>CORREL(Table38[Life expectancy at birth],Table38[GDP - per capita (PPP)])</f>
        <v>0.66243787801142506</v>
      </c>
      <c r="M79">
        <f>(Table38[[#This Row],[Life expectancy at birth]]-$I$199)/$I$201</f>
        <v>0.699367088607595</v>
      </c>
      <c r="N79" s="28">
        <f>(Table38[[#This Row],[GDP - per capita (PPP)]]-$K$199)/$K$201</f>
        <v>8.2606507021707201E-2</v>
      </c>
    </row>
    <row r="80" spans="1:14" x14ac:dyDescent="0.25">
      <c r="A80" s="11" t="s">
        <v>163</v>
      </c>
      <c r="B80" s="26">
        <v>160</v>
      </c>
      <c r="C80" s="12">
        <v>6700</v>
      </c>
      <c r="D80" s="11">
        <v>2019</v>
      </c>
      <c r="G80" s="42">
        <v>79</v>
      </c>
      <c r="H80" t="s">
        <v>312</v>
      </c>
      <c r="I80" s="43">
        <v>75.400000000000006</v>
      </c>
      <c r="J80">
        <v>2020</v>
      </c>
      <c r="K80">
        <f>IFERROR(VLOOKUP("*"&amp;Table38[[#This Row],[Country]]&amp;"*",Table6[],3,FALSE),0)</f>
        <v>0</v>
      </c>
      <c r="L80">
        <f>CORREL(Table38[Life expectancy at birth],Table38[GDP - per capita (PPP)])</f>
        <v>0.66243787801142506</v>
      </c>
      <c r="M80">
        <f>(Table38[[#This Row],[Life expectancy at birth]]-$I$199)/$I$201</f>
        <v>0.699367088607595</v>
      </c>
      <c r="N80" s="28">
        <f>(Table38[[#This Row],[GDP - per capita (PPP)]]-$K$199)/$K$201</f>
        <v>0</v>
      </c>
    </row>
    <row r="81" spans="1:14" x14ac:dyDescent="0.25">
      <c r="A81" s="11" t="s">
        <v>139</v>
      </c>
      <c r="B81" s="26">
        <v>136</v>
      </c>
      <c r="C81" s="12">
        <v>11812</v>
      </c>
      <c r="D81" s="11">
        <v>2019</v>
      </c>
      <c r="G81" s="42">
        <v>80</v>
      </c>
      <c r="H81" t="s">
        <v>313</v>
      </c>
      <c r="I81" s="43">
        <v>75.3</v>
      </c>
      <c r="J81">
        <v>2020</v>
      </c>
      <c r="K81">
        <f>IFERROR(VLOOKUP("*"&amp;Table38[[#This Row],[Country]]&amp;"*",Table6[],3,FALSE),0)</f>
        <v>30898</v>
      </c>
      <c r="L81">
        <f>CORREL(Table38[Life expectancy at birth],Table38[GDP - per capita (PPP)])</f>
        <v>0.66243787801142506</v>
      </c>
      <c r="M81">
        <f>(Table38[[#This Row],[Life expectancy at birth]]-$I$199)/$I$201</f>
        <v>0.69620253164556944</v>
      </c>
      <c r="N81" s="28">
        <f>(Table38[[#This Row],[GDP - per capita (PPP)]]-$K$199)/$K$201</f>
        <v>0.31742020320317238</v>
      </c>
    </row>
    <row r="82" spans="1:14" x14ac:dyDescent="0.25">
      <c r="A82" s="11" t="s">
        <v>133</v>
      </c>
      <c r="B82" s="26">
        <v>130</v>
      </c>
      <c r="C82" s="12">
        <v>12389</v>
      </c>
      <c r="D82" s="11">
        <v>2019</v>
      </c>
      <c r="G82" s="42">
        <v>81</v>
      </c>
      <c r="H82" t="s">
        <v>314</v>
      </c>
      <c r="I82" s="43">
        <v>75.3</v>
      </c>
      <c r="J82">
        <v>2020</v>
      </c>
      <c r="K82">
        <f>IFERROR(VLOOKUP("*"&amp;Table38[[#This Row],[Country]]&amp;"*",Table6[],3,FALSE),0)</f>
        <v>5728</v>
      </c>
      <c r="L82">
        <f>CORREL(Table38[Life expectancy at birth],Table38[GDP - per capita (PPP)])</f>
        <v>0.66243787801142506</v>
      </c>
      <c r="M82">
        <f>(Table38[[#This Row],[Life expectancy at birth]]-$I$199)/$I$201</f>
        <v>0.69620253164556944</v>
      </c>
      <c r="N82" s="28">
        <f>(Table38[[#This Row],[GDP - per capita (PPP)]]-$K$199)/$K$201</f>
        <v>5.8844680042325431E-2</v>
      </c>
    </row>
    <row r="83" spans="1:14" x14ac:dyDescent="0.25">
      <c r="A83" s="11" t="s">
        <v>146</v>
      </c>
      <c r="B83" s="26">
        <v>143</v>
      </c>
      <c r="C83" s="12">
        <v>10881</v>
      </c>
      <c r="D83" s="11">
        <v>2019</v>
      </c>
      <c r="G83" s="42">
        <v>82</v>
      </c>
      <c r="H83" t="s">
        <v>315</v>
      </c>
      <c r="I83" s="43">
        <v>75.099999999999994</v>
      </c>
      <c r="J83">
        <v>2020</v>
      </c>
      <c r="K83">
        <f>IFERROR(VLOOKUP("*"&amp;Table38[[#This Row],[Country]]&amp;"*",Table6[],3,FALSE),0)</f>
        <v>46962</v>
      </c>
      <c r="L83">
        <f>CORREL(Table38[Life expectancy at birth],Table38[GDP - per capita (PPP)])</f>
        <v>0.66243787801142506</v>
      </c>
      <c r="M83">
        <f>(Table38[[#This Row],[Life expectancy at birth]]-$I$199)/$I$201</f>
        <v>0.68987341772151867</v>
      </c>
      <c r="N83" s="28">
        <f>(Table38[[#This Row],[GDP - per capita (PPP)]]-$K$199)/$K$201</f>
        <v>0.48244830030511293</v>
      </c>
    </row>
    <row r="84" spans="1:14" x14ac:dyDescent="0.25">
      <c r="A84" s="13" t="s">
        <v>10</v>
      </c>
      <c r="B84" s="27">
        <v>7</v>
      </c>
      <c r="C84" s="10">
        <v>86781</v>
      </c>
      <c r="D84" s="13">
        <v>2019</v>
      </c>
      <c r="G84" s="42">
        <v>83</v>
      </c>
      <c r="H84" t="s">
        <v>316</v>
      </c>
      <c r="I84" s="43">
        <v>75.099999999999994</v>
      </c>
      <c r="J84">
        <v>2020</v>
      </c>
      <c r="K84">
        <f>IFERROR(VLOOKUP("*"&amp;Table38[[#This Row],[Country]]&amp;"*",Table6[],3,FALSE),0)</f>
        <v>23174</v>
      </c>
      <c r="L84">
        <f>CORREL(Table38[Life expectancy at birth],Table38[GDP - per capita (PPP)])</f>
        <v>0.66243787801142506</v>
      </c>
      <c r="M84">
        <f>(Table38[[#This Row],[Life expectancy at birth]]-$I$199)/$I$201</f>
        <v>0.68987341772151867</v>
      </c>
      <c r="N84" s="28">
        <f>(Table38[[#This Row],[GDP - per capita (PPP)]]-$K$199)/$K$201</f>
        <v>0.23807028898408686</v>
      </c>
    </row>
    <row r="85" spans="1:14" x14ac:dyDescent="0.25">
      <c r="A85" s="11" t="s">
        <v>52</v>
      </c>
      <c r="B85" s="26">
        <v>49</v>
      </c>
      <c r="C85" s="12">
        <v>40145</v>
      </c>
      <c r="D85" s="11">
        <v>2019</v>
      </c>
      <c r="G85" s="42">
        <v>84</v>
      </c>
      <c r="H85" t="s">
        <v>317</v>
      </c>
      <c r="I85" s="43">
        <v>75.099999999999994</v>
      </c>
      <c r="J85">
        <v>2020</v>
      </c>
      <c r="K85">
        <f>IFERROR(VLOOKUP("*"&amp;Table38[[#This Row],[Country]]&amp;"*",Table6[],3,FALSE),0)</f>
        <v>19796</v>
      </c>
      <c r="L85">
        <f>CORREL(Table38[Life expectancy at birth],Table38[GDP - per capita (PPP)])</f>
        <v>0.66243787801142506</v>
      </c>
      <c r="M85">
        <f>(Table38[[#This Row],[Life expectancy at birth]]-$I$199)/$I$201</f>
        <v>0.68987341772151867</v>
      </c>
      <c r="N85" s="28">
        <f>(Table38[[#This Row],[GDP - per capita (PPP)]]-$K$199)/$K$201</f>
        <v>0.20336754296750598</v>
      </c>
    </row>
    <row r="86" spans="1:14" x14ac:dyDescent="0.25">
      <c r="A86" s="11" t="s">
        <v>47</v>
      </c>
      <c r="B86" s="26">
        <v>44</v>
      </c>
      <c r="C86" s="12">
        <v>42492</v>
      </c>
      <c r="D86" s="11">
        <v>2019</v>
      </c>
      <c r="G86" s="42">
        <v>85</v>
      </c>
      <c r="H86" t="s">
        <v>318</v>
      </c>
      <c r="I86" s="43">
        <v>75.099999999999994</v>
      </c>
      <c r="J86">
        <v>2020</v>
      </c>
      <c r="K86">
        <f>IFERROR(VLOOKUP("*"&amp;Table38[[#This Row],[Country]]&amp;"*",Table6[],3,FALSE),0)</f>
        <v>13654</v>
      </c>
      <c r="L86">
        <f>CORREL(Table38[Life expectancy at birth],Table38[GDP - per capita (PPP)])</f>
        <v>0.66243787801142506</v>
      </c>
      <c r="M86">
        <f>(Table38[[#This Row],[Life expectancy at birth]]-$I$199)/$I$201</f>
        <v>0.68987341772151867</v>
      </c>
      <c r="N86" s="28">
        <f>(Table38[[#This Row],[GDP - per capita (PPP)]]-$K$199)/$K$201</f>
        <v>0.14026977327128343</v>
      </c>
    </row>
    <row r="87" spans="1:14" x14ac:dyDescent="0.25">
      <c r="A87" s="11" t="s">
        <v>175</v>
      </c>
      <c r="B87" s="26">
        <v>172</v>
      </c>
      <c r="C87" s="12">
        <v>5213</v>
      </c>
      <c r="D87" s="11">
        <v>2019</v>
      </c>
      <c r="G87" s="42">
        <v>86</v>
      </c>
      <c r="H87" t="s">
        <v>319</v>
      </c>
      <c r="I87" s="43">
        <v>75</v>
      </c>
      <c r="J87">
        <v>2020</v>
      </c>
      <c r="K87">
        <f>IFERROR(VLOOKUP("*"&amp;Table38[[#This Row],[Country]]&amp;"*",Table6[],3,FALSE),0)</f>
        <v>22870</v>
      </c>
      <c r="L87">
        <f>CORREL(Table38[Life expectancy at birth],Table38[GDP - per capita (PPP)])</f>
        <v>0.66243787801142506</v>
      </c>
      <c r="M87">
        <f>(Table38[[#This Row],[Life expectancy at birth]]-$I$199)/$I$201</f>
        <v>0.68670886075949356</v>
      </c>
      <c r="N87" s="28">
        <f>(Table38[[#This Row],[GDP - per capita (PPP)]]-$K$199)/$K$201</f>
        <v>0.23494724730586289</v>
      </c>
    </row>
    <row r="88" spans="1:14" x14ac:dyDescent="0.25">
      <c r="A88" s="13" t="s">
        <v>149</v>
      </c>
      <c r="B88" s="27">
        <v>146</v>
      </c>
      <c r="C88" s="10">
        <v>9762</v>
      </c>
      <c r="D88" s="13">
        <v>2019</v>
      </c>
      <c r="G88" s="42">
        <v>87</v>
      </c>
      <c r="H88" t="s">
        <v>320</v>
      </c>
      <c r="I88" s="43">
        <v>74.8</v>
      </c>
      <c r="J88">
        <v>2020</v>
      </c>
      <c r="K88">
        <f>IFERROR(VLOOKUP("*"&amp;Table38[[#This Row],[Country]]&amp;"*",Table6[],3,FALSE),0)</f>
        <v>19150</v>
      </c>
      <c r="L88">
        <f>CORREL(Table38[Life expectancy at birth],Table38[GDP - per capita (PPP)])</f>
        <v>0.66243787801142506</v>
      </c>
      <c r="M88">
        <f>(Table38[[#This Row],[Life expectancy at birth]]-$I$199)/$I$201</f>
        <v>0.68037974683544289</v>
      </c>
      <c r="N88" s="28">
        <f>(Table38[[#This Row],[GDP - per capita (PPP)]]-$K$199)/$K$201</f>
        <v>0.19673107940128004</v>
      </c>
    </row>
    <row r="89" spans="1:14" x14ac:dyDescent="0.25">
      <c r="A89" s="13" t="s">
        <v>49</v>
      </c>
      <c r="B89" s="27">
        <v>46</v>
      </c>
      <c r="C89" s="10">
        <v>41429</v>
      </c>
      <c r="D89" s="13">
        <v>2019</v>
      </c>
      <c r="G89" s="42">
        <v>88</v>
      </c>
      <c r="H89" t="s">
        <v>321</v>
      </c>
      <c r="I89" s="43">
        <v>74.8</v>
      </c>
      <c r="J89">
        <v>2020</v>
      </c>
      <c r="K89">
        <f>IFERROR(VLOOKUP("*"&amp;Table38[[#This Row],[Country]]&amp;"*",Table6[],3,FALSE),0)</f>
        <v>26438</v>
      </c>
      <c r="L89">
        <f>CORREL(Table38[Life expectancy at birth],Table38[GDP - per capita (PPP)])</f>
        <v>0.66243787801142506</v>
      </c>
      <c r="M89">
        <f>(Table38[[#This Row],[Life expectancy at birth]]-$I$199)/$I$201</f>
        <v>0.68037974683544289</v>
      </c>
      <c r="N89" s="28">
        <f>(Table38[[#This Row],[GDP - per capita (PPP)]]-$K$199)/$K$201</f>
        <v>0.27160189437133375</v>
      </c>
    </row>
    <row r="90" spans="1:14" x14ac:dyDescent="0.25">
      <c r="A90" s="11" t="s">
        <v>148</v>
      </c>
      <c r="B90" s="26">
        <v>145</v>
      </c>
      <c r="C90" s="12">
        <v>10071</v>
      </c>
      <c r="D90" s="11">
        <v>2019</v>
      </c>
      <c r="G90" s="42">
        <v>89</v>
      </c>
      <c r="H90" t="s">
        <v>322</v>
      </c>
      <c r="I90" s="43">
        <v>74.599999999999994</v>
      </c>
      <c r="J90">
        <v>2020</v>
      </c>
      <c r="K90">
        <f>IFERROR(VLOOKUP("*"&amp;Table38[[#This Row],[Country]]&amp;"*",Table6[],3,FALSE),0)</f>
        <v>7005</v>
      </c>
      <c r="L90">
        <f>CORREL(Table38[Life expectancy at birth],Table38[GDP - per capita (PPP)])</f>
        <v>0.66243787801142506</v>
      </c>
      <c r="M90">
        <f>(Table38[[#This Row],[Life expectancy at birth]]-$I$199)/$I$201</f>
        <v>0.67405063291139211</v>
      </c>
      <c r="N90" s="28">
        <f>(Table38[[#This Row],[GDP - per capita (PPP)]]-$K$199)/$K$201</f>
        <v>7.1963509723549174E-2</v>
      </c>
    </row>
    <row r="91" spans="1:14" x14ac:dyDescent="0.25">
      <c r="A91" s="13" t="s">
        <v>82</v>
      </c>
      <c r="B91" s="27">
        <v>79</v>
      </c>
      <c r="C91" s="10">
        <v>26351</v>
      </c>
      <c r="D91" s="13">
        <v>2019</v>
      </c>
      <c r="G91" s="42">
        <v>90</v>
      </c>
      <c r="H91" t="s">
        <v>323</v>
      </c>
      <c r="I91" s="43">
        <v>74.5</v>
      </c>
      <c r="J91">
        <v>2020</v>
      </c>
      <c r="K91">
        <f>IFERROR(VLOOKUP("*"&amp;Table38[[#This Row],[Country]]&amp;"*",Table6[],3,FALSE),0)</f>
        <v>9762</v>
      </c>
      <c r="L91">
        <f>CORREL(Table38[Life expectancy at birth],Table38[GDP - per capita (PPP)])</f>
        <v>0.66243787801142506</v>
      </c>
      <c r="M91">
        <f>(Table38[[#This Row],[Life expectancy at birth]]-$I$199)/$I$201</f>
        <v>0.670886075949367</v>
      </c>
      <c r="N91" s="28">
        <f>(Table38[[#This Row],[GDP - per capita (PPP)]]-$K$199)/$K$201</f>
        <v>0.10028662125928438</v>
      </c>
    </row>
    <row r="92" spans="1:14" x14ac:dyDescent="0.25">
      <c r="A92" s="11" t="s">
        <v>183</v>
      </c>
      <c r="B92" s="26">
        <v>180</v>
      </c>
      <c r="C92" s="12">
        <v>4330</v>
      </c>
      <c r="D92" s="11">
        <v>2019</v>
      </c>
      <c r="G92" s="42">
        <v>91</v>
      </c>
      <c r="H92" t="s">
        <v>324</v>
      </c>
      <c r="I92" s="43">
        <v>74.5</v>
      </c>
      <c r="J92">
        <v>2020</v>
      </c>
      <c r="K92">
        <f>IFERROR(VLOOKUP("*"&amp;Table38[[#This Row],[Country]]&amp;"*",Table6[],3,FALSE),0)</f>
        <v>10071</v>
      </c>
      <c r="L92">
        <f>CORREL(Table38[Life expectancy at birth],Table38[GDP - per capita (PPP)])</f>
        <v>0.66243787801142506</v>
      </c>
      <c r="M92">
        <f>(Table38[[#This Row],[Life expectancy at birth]]-$I$199)/$I$201</f>
        <v>0.670886075949367</v>
      </c>
      <c r="N92" s="28">
        <f>(Table38[[#This Row],[GDP - per capita (PPP)]]-$K$199)/$K$201</f>
        <v>0.10346102875458441</v>
      </c>
    </row>
    <row r="93" spans="1:14" x14ac:dyDescent="0.25">
      <c r="A93" s="13" t="s">
        <v>209</v>
      </c>
      <c r="B93" s="27">
        <v>206</v>
      </c>
      <c r="C93" s="10">
        <v>2272</v>
      </c>
      <c r="D93" s="13">
        <v>2019</v>
      </c>
      <c r="G93" s="42">
        <v>92</v>
      </c>
      <c r="H93" t="s">
        <v>325</v>
      </c>
      <c r="I93" s="43">
        <v>74.5</v>
      </c>
      <c r="J93">
        <v>2020</v>
      </c>
      <c r="K93">
        <f>IFERROR(VLOOKUP("*"&amp;Table38[[#This Row],[Country]]&amp;"*",Table6[],3,FALSE),0)</f>
        <v>5407</v>
      </c>
      <c r="L93">
        <f>CORREL(Table38[Life expectancy at birth],Table38[GDP - per capita (PPP)])</f>
        <v>0.66243787801142506</v>
      </c>
      <c r="M93">
        <f>(Table38[[#This Row],[Life expectancy at birth]]-$I$199)/$I$201</f>
        <v>0.670886075949367</v>
      </c>
      <c r="N93" s="28">
        <f>(Table38[[#This Row],[GDP - per capita (PPP)]]-$K$199)/$K$201</f>
        <v>5.5546994586042883E-2</v>
      </c>
    </row>
    <row r="94" spans="1:14" x14ac:dyDescent="0.25">
      <c r="A94" s="13" t="s">
        <v>144</v>
      </c>
      <c r="B94" s="27">
        <v>141</v>
      </c>
      <c r="C94" s="10">
        <v>11368</v>
      </c>
      <c r="D94" s="13">
        <v>2019</v>
      </c>
      <c r="G94" s="42">
        <v>93</v>
      </c>
      <c r="H94" t="s">
        <v>326</v>
      </c>
      <c r="I94" s="43">
        <v>74.400000000000006</v>
      </c>
      <c r="J94">
        <v>2020</v>
      </c>
      <c r="K94">
        <f>IFERROR(VLOOKUP("*"&amp;Table38[[#This Row],[Country]]&amp;"*",Table6[],3,FALSE),0)</f>
        <v>0</v>
      </c>
      <c r="L94">
        <f>CORREL(Table38[Life expectancy at birth],Table38[GDP - per capita (PPP)])</f>
        <v>0.66243787801142506</v>
      </c>
      <c r="M94">
        <f>(Table38[[#This Row],[Life expectancy at birth]]-$I$199)/$I$201</f>
        <v>0.66772151898734189</v>
      </c>
      <c r="N94" s="28">
        <f>(Table38[[#This Row],[GDP - per capita (PPP)]]-$K$199)/$K$201</f>
        <v>0</v>
      </c>
    </row>
    <row r="95" spans="1:14" x14ac:dyDescent="0.25">
      <c r="A95" s="13" t="s">
        <v>35</v>
      </c>
      <c r="B95" s="27">
        <v>32</v>
      </c>
      <c r="C95" s="10">
        <v>49854</v>
      </c>
      <c r="D95" s="13">
        <v>2019</v>
      </c>
      <c r="G95" s="42">
        <v>94</v>
      </c>
      <c r="H95" t="s">
        <v>327</v>
      </c>
      <c r="I95" s="43">
        <v>74.3</v>
      </c>
      <c r="J95">
        <v>2020</v>
      </c>
      <c r="K95">
        <f>IFERROR(VLOOKUP("*"&amp;Table38[[#This Row],[Country]]&amp;"*",Table6[],3,FALSE),0)</f>
        <v>12685</v>
      </c>
      <c r="L95">
        <f>CORREL(Table38[Life expectancy at birth],Table38[GDP - per capita (PPP)])</f>
        <v>0.66243787801142506</v>
      </c>
      <c r="M95">
        <f>(Table38[[#This Row],[Life expectancy at birth]]-$I$199)/$I$201</f>
        <v>0.66455696202531622</v>
      </c>
      <c r="N95" s="28">
        <f>(Table38[[#This Row],[GDP - per capita (PPP)]]-$K$199)/$K$201</f>
        <v>0.13031507792194449</v>
      </c>
    </row>
    <row r="96" spans="1:14" x14ac:dyDescent="0.25">
      <c r="A96" s="13" t="s">
        <v>174</v>
      </c>
      <c r="B96" s="27">
        <v>171</v>
      </c>
      <c r="C96" s="10">
        <v>5253</v>
      </c>
      <c r="D96" s="13">
        <v>2019</v>
      </c>
      <c r="G96" s="42">
        <v>95</v>
      </c>
      <c r="H96" t="s">
        <v>328</v>
      </c>
      <c r="I96" s="43">
        <v>74.3</v>
      </c>
      <c r="J96">
        <v>2020</v>
      </c>
      <c r="K96">
        <f>IFERROR(VLOOKUP("*"&amp;Table38[[#This Row],[Country]]&amp;"*",Table6[],3,FALSE),0)</f>
        <v>8637</v>
      </c>
      <c r="L96">
        <f>CORREL(Table38[Life expectancy at birth],Table38[GDP - per capita (PPP)])</f>
        <v>0.66243787801142506</v>
      </c>
      <c r="M96">
        <f>(Table38[[#This Row],[Life expectancy at birth]]-$I$199)/$I$201</f>
        <v>0.66455696202531622</v>
      </c>
      <c r="N96" s="28">
        <f>(Table38[[#This Row],[GDP - per capita (PPP)]]-$K$199)/$K$201</f>
        <v>8.8729312417172621E-2</v>
      </c>
    </row>
    <row r="97" spans="1:14" x14ac:dyDescent="0.25">
      <c r="A97" s="13" t="s">
        <v>157</v>
      </c>
      <c r="B97" s="27">
        <v>154</v>
      </c>
      <c r="C97" s="10">
        <v>7826</v>
      </c>
      <c r="D97" s="13">
        <v>2019</v>
      </c>
      <c r="G97" s="42">
        <v>96</v>
      </c>
      <c r="H97" t="s">
        <v>329</v>
      </c>
      <c r="I97" s="43">
        <v>74.099999999999994</v>
      </c>
      <c r="J97">
        <v>2020</v>
      </c>
      <c r="K97">
        <f>IFERROR(VLOOKUP("*"&amp;Table38[[#This Row],[Country]]&amp;"*",Table6[],3,FALSE),0)</f>
        <v>18413</v>
      </c>
      <c r="L97">
        <f>CORREL(Table38[Life expectancy at birth],Table38[GDP - per capita (PPP)])</f>
        <v>0.66243787801142506</v>
      </c>
      <c r="M97">
        <f>(Table38[[#This Row],[Life expectancy at birth]]-$I$199)/$I$201</f>
        <v>0.65822784810126556</v>
      </c>
      <c r="N97" s="28">
        <f>(Table38[[#This Row],[GDP - per capita (PPP)]]-$K$199)/$K$201</f>
        <v>0.18915975796426993</v>
      </c>
    </row>
    <row r="98" spans="1:14" x14ac:dyDescent="0.25">
      <c r="A98" s="11" t="s">
        <v>71</v>
      </c>
      <c r="B98" s="26">
        <v>68</v>
      </c>
      <c r="C98" s="12">
        <v>30898</v>
      </c>
      <c r="D98" s="11">
        <v>2019</v>
      </c>
      <c r="G98" s="42">
        <v>97</v>
      </c>
      <c r="H98" t="s">
        <v>330</v>
      </c>
      <c r="I98" s="43">
        <v>74.099999999999994</v>
      </c>
      <c r="J98">
        <v>2020</v>
      </c>
      <c r="K98">
        <f>IFERROR(VLOOKUP("*"&amp;Table38[[#This Row],[Country]]&amp;"*",Table6[],3,FALSE),0)</f>
        <v>6220</v>
      </c>
      <c r="L98">
        <f>CORREL(Table38[Life expectancy at birth],Table38[GDP - per capita (PPP)])</f>
        <v>0.66243787801142506</v>
      </c>
      <c r="M98">
        <f>(Table38[[#This Row],[Life expectancy at birth]]-$I$199)/$I$201</f>
        <v>0.65822784810126556</v>
      </c>
      <c r="N98" s="28">
        <f>(Table38[[#This Row],[GDP - per capita (PPP)]]-$K$199)/$K$201</f>
        <v>6.3899076442608976E-2</v>
      </c>
    </row>
    <row r="99" spans="1:14" x14ac:dyDescent="0.25">
      <c r="A99" s="13" t="s">
        <v>120</v>
      </c>
      <c r="B99" s="27">
        <v>117</v>
      </c>
      <c r="C99" s="10">
        <v>14552</v>
      </c>
      <c r="D99" s="13">
        <v>2019</v>
      </c>
      <c r="G99" s="42">
        <v>98</v>
      </c>
      <c r="H99" t="s">
        <v>331</v>
      </c>
      <c r="I99" s="43">
        <v>74.099999999999994</v>
      </c>
      <c r="J99">
        <v>2020</v>
      </c>
      <c r="K99">
        <f>IFERROR(VLOOKUP("*"&amp;Table38[[#This Row],[Country]]&amp;"*",Table6[],3,FALSE),0)</f>
        <v>0</v>
      </c>
      <c r="L99">
        <f>CORREL(Table38[Life expectancy at birth],Table38[GDP - per capita (PPP)])</f>
        <v>0.66243787801142506</v>
      </c>
      <c r="M99">
        <f>(Table38[[#This Row],[Life expectancy at birth]]-$I$199)/$I$201</f>
        <v>0.65822784810126556</v>
      </c>
      <c r="N99" s="28">
        <f>(Table38[[#This Row],[GDP - per capita (PPP)]]-$K$199)/$K$201</f>
        <v>0</v>
      </c>
    </row>
    <row r="100" spans="1:14" x14ac:dyDescent="0.25">
      <c r="A100" s="11" t="s">
        <v>203</v>
      </c>
      <c r="B100" s="26">
        <v>200</v>
      </c>
      <c r="C100" s="12">
        <v>2704</v>
      </c>
      <c r="D100" s="11">
        <v>2019</v>
      </c>
      <c r="G100" s="42">
        <v>99</v>
      </c>
      <c r="H100" t="s">
        <v>332</v>
      </c>
      <c r="I100" s="43">
        <v>73.900000000000006</v>
      </c>
      <c r="J100">
        <v>2020</v>
      </c>
      <c r="K100">
        <f>IFERROR(VLOOKUP("*"&amp;Table38[[#This Row],[Country]]&amp;"*",Table6[],3,FALSE),0)</f>
        <v>17579</v>
      </c>
      <c r="L100">
        <f>CORREL(Table38[Life expectancy at birth],Table38[GDP - per capita (PPP)])</f>
        <v>0.66243787801142506</v>
      </c>
      <c r="M100">
        <f>(Table38[[#This Row],[Life expectancy at birth]]-$I$199)/$I$201</f>
        <v>0.65189873417721533</v>
      </c>
      <c r="N100" s="28">
        <f>(Table38[[#This Row],[GDP - per capita (PPP)]]-$K$199)/$K$201</f>
        <v>0.18059193967598441</v>
      </c>
    </row>
    <row r="101" spans="1:14" x14ac:dyDescent="0.25">
      <c r="A101" s="11" t="s">
        <v>224</v>
      </c>
      <c r="B101" s="26">
        <v>221</v>
      </c>
      <c r="C101" s="12">
        <v>1428</v>
      </c>
      <c r="D101" s="11">
        <v>2019</v>
      </c>
      <c r="G101" s="42">
        <v>100</v>
      </c>
      <c r="H101" t="s">
        <v>333</v>
      </c>
      <c r="I101" s="43">
        <v>73.900000000000006</v>
      </c>
      <c r="J101">
        <v>2020</v>
      </c>
      <c r="K101">
        <f>IFERROR(VLOOKUP("*"&amp;Table38[[#This Row],[Country]]&amp;"*",Table6[],3,FALSE),0)</f>
        <v>37101</v>
      </c>
      <c r="L101">
        <f>CORREL(Table38[Life expectancy at birth],Table38[GDP - per capita (PPP)])</f>
        <v>0.66243787801142506</v>
      </c>
      <c r="M101">
        <f>(Table38[[#This Row],[Life expectancy at birth]]-$I$199)/$I$201</f>
        <v>0.65189873417721533</v>
      </c>
      <c r="N101" s="28">
        <f>(Table38[[#This Row],[GDP - per capita (PPP)]]-$K$199)/$K$201</f>
        <v>0.38114463586772274</v>
      </c>
    </row>
    <row r="102" spans="1:14" x14ac:dyDescent="0.25">
      <c r="A102" s="13" t="s">
        <v>113</v>
      </c>
      <c r="B102" s="27">
        <v>110</v>
      </c>
      <c r="C102" s="10">
        <v>15174</v>
      </c>
      <c r="D102" s="13">
        <v>2019</v>
      </c>
      <c r="G102" s="42">
        <v>101</v>
      </c>
      <c r="H102" t="s">
        <v>334</v>
      </c>
      <c r="I102" s="43">
        <v>73.8</v>
      </c>
      <c r="J102">
        <v>2020</v>
      </c>
      <c r="K102">
        <f>IFERROR(VLOOKUP("*"&amp;Table38[[#This Row],[Country]]&amp;"*",Table6[],3,FALSE),0)</f>
        <v>14992</v>
      </c>
      <c r="L102">
        <f>CORREL(Table38[Life expectancy at birth],Table38[GDP - per capita (PPP)])</f>
        <v>0.66243787801142506</v>
      </c>
      <c r="M102">
        <f>(Table38[[#This Row],[Life expectancy at birth]]-$I$199)/$I$201</f>
        <v>0.64873417721518967</v>
      </c>
      <c r="N102" s="28">
        <f>(Table38[[#This Row],[GDP - per capita (PPP)]]-$K$199)/$K$201</f>
        <v>0.154015265920835</v>
      </c>
    </row>
    <row r="103" spans="1:14" x14ac:dyDescent="0.25">
      <c r="A103" s="13" t="s">
        <v>57</v>
      </c>
      <c r="B103" s="27">
        <v>54</v>
      </c>
      <c r="C103" s="10">
        <v>37231</v>
      </c>
      <c r="D103" s="13">
        <v>2019</v>
      </c>
      <c r="G103" s="42">
        <v>102</v>
      </c>
      <c r="H103" t="s">
        <v>335</v>
      </c>
      <c r="I103" s="43">
        <v>73.599999999999994</v>
      </c>
      <c r="J103">
        <v>2020</v>
      </c>
      <c r="K103">
        <f>IFERROR(VLOOKUP("*"&amp;Table38[[#This Row],[Country]]&amp;"*",Table6[],3,FALSE),0)</f>
        <v>26351</v>
      </c>
      <c r="L103">
        <f>CORREL(Table38[Life expectancy at birth],Table38[GDP - per capita (PPP)])</f>
        <v>0.66243787801142506</v>
      </c>
      <c r="M103">
        <f>(Table38[[#This Row],[Life expectancy at birth]]-$I$199)/$I$201</f>
        <v>0.642405063291139</v>
      </c>
      <c r="N103" s="28">
        <f>(Table38[[#This Row],[GDP - per capita (PPP)]]-$K$199)/$K$201</f>
        <v>0.27070812915421044</v>
      </c>
    </row>
    <row r="104" spans="1:14" x14ac:dyDescent="0.25">
      <c r="A104" s="11" t="s">
        <v>6</v>
      </c>
      <c r="B104" s="26">
        <v>3</v>
      </c>
      <c r="C104" s="12">
        <v>123965</v>
      </c>
      <c r="D104" s="11">
        <v>2019</v>
      </c>
      <c r="G104" s="42">
        <v>103</v>
      </c>
      <c r="H104" t="s">
        <v>336</v>
      </c>
      <c r="I104" s="43">
        <v>73.599999999999994</v>
      </c>
      <c r="J104">
        <v>2020</v>
      </c>
      <c r="K104">
        <f>IFERROR(VLOOKUP("*"&amp;Table38[[#This Row],[Country]]&amp;"*",Table6[],3,FALSE),0)</f>
        <v>26176</v>
      </c>
      <c r="L104">
        <f>CORREL(Table38[Life expectancy at birth],Table38[GDP - per capita (PPP)])</f>
        <v>0.66243787801142506</v>
      </c>
      <c r="M104">
        <f>(Table38[[#This Row],[Life expectancy at birth]]-$I$199)/$I$201</f>
        <v>0.642405063291139</v>
      </c>
      <c r="N104" s="28">
        <f>(Table38[[#This Row],[GDP - per capita (PPP)]]-$K$199)/$K$201</f>
        <v>0.26891032555654865</v>
      </c>
    </row>
    <row r="105" spans="1:14" x14ac:dyDescent="0.25">
      <c r="A105" s="11" t="s">
        <v>219</v>
      </c>
      <c r="B105" s="26">
        <v>216</v>
      </c>
      <c r="C105" s="12">
        <v>1647</v>
      </c>
      <c r="D105" s="11">
        <v>2019</v>
      </c>
      <c r="G105" s="42">
        <v>104</v>
      </c>
      <c r="H105" t="s">
        <v>337</v>
      </c>
      <c r="I105" s="43">
        <v>73.400000000000006</v>
      </c>
      <c r="J105">
        <v>2020</v>
      </c>
      <c r="K105">
        <f>IFERROR(VLOOKUP("*"&amp;Table38[[#This Row],[Country]]&amp;"*",Table6[],3,FALSE),0)</f>
        <v>29223</v>
      </c>
      <c r="L105">
        <f>CORREL(Table38[Life expectancy at birth],Table38[GDP - per capita (PPP)])</f>
        <v>0.66243787801142506</v>
      </c>
      <c r="M105">
        <f>(Table38[[#This Row],[Life expectancy at birth]]-$I$199)/$I$201</f>
        <v>0.63607594936708867</v>
      </c>
      <c r="N105" s="28">
        <f>(Table38[[#This Row],[GDP - per capita (PPP)]]-$K$199)/$K$201</f>
        <v>0.30021265448269485</v>
      </c>
    </row>
    <row r="106" spans="1:14" x14ac:dyDescent="0.25">
      <c r="A106" s="11" t="s">
        <v>228</v>
      </c>
      <c r="B106" s="26">
        <v>225</v>
      </c>
      <c r="C106" s="12">
        <v>1060</v>
      </c>
      <c r="D106" s="11">
        <v>2019</v>
      </c>
      <c r="G106" s="42">
        <v>105</v>
      </c>
      <c r="H106" t="s">
        <v>338</v>
      </c>
      <c r="I106" s="43">
        <v>73.3</v>
      </c>
      <c r="J106">
        <v>2020</v>
      </c>
      <c r="K106">
        <f>IFERROR(VLOOKUP("*"&amp;Table38[[#This Row],[Country]]&amp;"*",Table6[],3,FALSE),0)</f>
        <v>6521</v>
      </c>
      <c r="L106">
        <f>CORREL(Table38[Life expectancy at birth],Table38[GDP - per capita (PPP)])</f>
        <v>0.66243787801142506</v>
      </c>
      <c r="M106">
        <f>(Table38[[#This Row],[Life expectancy at birth]]-$I$199)/$I$201</f>
        <v>0.63291139240506311</v>
      </c>
      <c r="N106" s="28">
        <f>(Table38[[#This Row],[GDP - per capita (PPP)]]-$K$199)/$K$201</f>
        <v>6.6991298630587323E-2</v>
      </c>
    </row>
    <row r="107" spans="1:14" x14ac:dyDescent="0.25">
      <c r="A107" s="13" t="s">
        <v>78</v>
      </c>
      <c r="B107" s="27">
        <v>75</v>
      </c>
      <c r="C107" s="10">
        <v>28364</v>
      </c>
      <c r="D107" s="13">
        <v>2019</v>
      </c>
      <c r="G107" s="42">
        <v>106</v>
      </c>
      <c r="H107" t="s">
        <v>339</v>
      </c>
      <c r="I107" s="43">
        <v>73.3</v>
      </c>
      <c r="J107">
        <v>2020</v>
      </c>
      <c r="K107">
        <f>IFERROR(VLOOKUP("*"&amp;Table38[[#This Row],[Country]]&amp;"*",Table6[],3,FALSE),0)</f>
        <v>8776</v>
      </c>
      <c r="L107">
        <f>CORREL(Table38[Life expectancy at birth],Table38[GDP - per capita (PPP)])</f>
        <v>0.66243787801142506</v>
      </c>
      <c r="M107">
        <f>(Table38[[#This Row],[Life expectancy at birth]]-$I$199)/$I$201</f>
        <v>0.63291139240506311</v>
      </c>
      <c r="N107" s="28">
        <f>(Table38[[#This Row],[GDP - per capita (PPP)]]-$K$199)/$K$201</f>
        <v>9.0157282131886868E-2</v>
      </c>
    </row>
    <row r="108" spans="1:14" x14ac:dyDescent="0.25">
      <c r="A108" s="13" t="s">
        <v>95</v>
      </c>
      <c r="B108" s="27">
        <v>92</v>
      </c>
      <c r="C108" s="10">
        <v>19531</v>
      </c>
      <c r="D108" s="13">
        <v>2019</v>
      </c>
      <c r="G108" s="42">
        <v>107</v>
      </c>
      <c r="H108" t="s">
        <v>340</v>
      </c>
      <c r="I108" s="43">
        <v>73</v>
      </c>
      <c r="J108">
        <v>2020</v>
      </c>
      <c r="K108">
        <f>IFERROR(VLOOKUP("*"&amp;Table38[[#This Row],[Country]]&amp;"*",Table6[],3,FALSE),0)</f>
        <v>14404</v>
      </c>
      <c r="L108">
        <f>CORREL(Table38[Life expectancy at birth],Table38[GDP - per capita (PPP)])</f>
        <v>0.66243787801142506</v>
      </c>
      <c r="M108">
        <f>(Table38[[#This Row],[Life expectancy at birth]]-$I$199)/$I$201</f>
        <v>0.62341772151898722</v>
      </c>
      <c r="N108" s="28">
        <f>(Table38[[#This Row],[GDP - per capita (PPP)]]-$K$199)/$K$201</f>
        <v>0.14797464583269127</v>
      </c>
    </row>
    <row r="109" spans="1:14" x14ac:dyDescent="0.25">
      <c r="A109" s="11" t="s">
        <v>208</v>
      </c>
      <c r="B109" s="26">
        <v>205</v>
      </c>
      <c r="C109" s="12">
        <v>2322</v>
      </c>
      <c r="D109" s="11">
        <v>2019</v>
      </c>
      <c r="G109" s="42">
        <v>108</v>
      </c>
      <c r="H109" t="s">
        <v>341</v>
      </c>
      <c r="I109" s="43">
        <v>73</v>
      </c>
      <c r="J109">
        <v>2020</v>
      </c>
      <c r="K109">
        <f>IFERROR(VLOOKUP("*"&amp;Table38[[#This Row],[Country]]&amp;"*",Table6[],3,FALSE),0)</f>
        <v>7172</v>
      </c>
      <c r="L109">
        <f>CORREL(Table38[Life expectancy at birth],Table38[GDP - per capita (PPP)])</f>
        <v>0.66243787801142506</v>
      </c>
      <c r="M109">
        <f>(Table38[[#This Row],[Life expectancy at birth]]-$I$199)/$I$201</f>
        <v>0.62341772151898722</v>
      </c>
      <c r="N109" s="28">
        <f>(Table38[[#This Row],[GDP - per capita (PPP)]]-$K$199)/$K$201</f>
        <v>7.3679128013889317E-2</v>
      </c>
    </row>
    <row r="110" spans="1:14" x14ac:dyDescent="0.25">
      <c r="A110" s="13" t="s">
        <v>44</v>
      </c>
      <c r="B110" s="27">
        <v>41</v>
      </c>
      <c r="C110" s="10">
        <v>44032</v>
      </c>
      <c r="D110" s="13">
        <v>2019</v>
      </c>
      <c r="G110" s="42">
        <v>109</v>
      </c>
      <c r="H110" t="s">
        <v>342</v>
      </c>
      <c r="I110" s="43">
        <v>73</v>
      </c>
      <c r="J110">
        <v>2020</v>
      </c>
      <c r="K110">
        <f>IFERROR(VLOOKUP("*"&amp;Table38[[#This Row],[Country]]&amp;"*",Table6[],3,FALSE),0)</f>
        <v>2663</v>
      </c>
      <c r="L110">
        <f>CORREL(Table38[Life expectancy at birth],Table38[GDP - per capita (PPP)])</f>
        <v>0.66243787801142506</v>
      </c>
      <c r="M110">
        <f>(Table38[[#This Row],[Life expectancy at birth]]-$I$199)/$I$201</f>
        <v>0.62341772151898722</v>
      </c>
      <c r="N110" s="28">
        <f>(Table38[[#This Row],[GDP - per capita (PPP)]]-$K$199)/$K$201</f>
        <v>2.7357434174705417E-2</v>
      </c>
    </row>
    <row r="111" spans="1:14" x14ac:dyDescent="0.25">
      <c r="A111" s="13" t="s">
        <v>176</v>
      </c>
      <c r="B111" s="27">
        <v>173</v>
      </c>
      <c r="C111" s="10">
        <v>5197</v>
      </c>
      <c r="D111" s="13">
        <v>2019</v>
      </c>
      <c r="G111" s="42">
        <v>110</v>
      </c>
      <c r="H111" t="s">
        <v>343</v>
      </c>
      <c r="I111" s="43">
        <v>72.900000000000006</v>
      </c>
      <c r="J111">
        <v>2020</v>
      </c>
      <c r="K111">
        <f>IFERROR(VLOOKUP("*"&amp;Table38[[#This Row],[Country]]&amp;"*",Table6[],3,FALSE),0)</f>
        <v>15174</v>
      </c>
      <c r="L111">
        <f>CORREL(Table38[Life expectancy at birth],Table38[GDP - per capita (PPP)])</f>
        <v>0.66243787801142506</v>
      </c>
      <c r="M111">
        <f>(Table38[[#This Row],[Life expectancy at birth]]-$I$199)/$I$201</f>
        <v>0.62025316455696211</v>
      </c>
      <c r="N111" s="28">
        <f>(Table38[[#This Row],[GDP - per capita (PPP)]]-$K$199)/$K$201</f>
        <v>0.1558849816624033</v>
      </c>
    </row>
    <row r="112" spans="1:14" x14ac:dyDescent="0.25">
      <c r="A112" s="11" t="s">
        <v>88</v>
      </c>
      <c r="B112" s="26">
        <v>85</v>
      </c>
      <c r="C112" s="12">
        <v>22870</v>
      </c>
      <c r="D112" s="11">
        <v>2019</v>
      </c>
      <c r="G112" s="42">
        <v>111</v>
      </c>
      <c r="H112" t="s">
        <v>104</v>
      </c>
      <c r="I112" s="43">
        <v>72.8</v>
      </c>
      <c r="J112">
        <v>2020</v>
      </c>
      <c r="K112">
        <f>IFERROR(VLOOKUP("*"&amp;Table38[[#This Row],[Country]]&amp;"*",Table6[],3,FALSE),0)</f>
        <v>0</v>
      </c>
      <c r="L112">
        <f>CORREL(Table38[Life expectancy at birth],Table38[GDP - per capita (PPP)])</f>
        <v>0.66243787801142506</v>
      </c>
      <c r="M112">
        <f>(Table38[[#This Row],[Life expectancy at birth]]-$I$199)/$I$201</f>
        <v>0.61708860759493656</v>
      </c>
      <c r="N112" s="28">
        <f>(Table38[[#This Row],[GDP - per capita (PPP)]]-$K$199)/$K$201</f>
        <v>0</v>
      </c>
    </row>
    <row r="113" spans="1:14" x14ac:dyDescent="0.25">
      <c r="A113" s="13" t="s">
        <v>93</v>
      </c>
      <c r="B113" s="27">
        <v>90</v>
      </c>
      <c r="C113" s="10">
        <v>19796</v>
      </c>
      <c r="D113" s="13">
        <v>2019</v>
      </c>
      <c r="G113" s="42">
        <v>112</v>
      </c>
      <c r="H113" t="s">
        <v>344</v>
      </c>
      <c r="I113" s="43">
        <v>72.7</v>
      </c>
      <c r="J113">
        <v>2020</v>
      </c>
      <c r="K113">
        <f>IFERROR(VLOOKUP("*"&amp;Table38[[#This Row],[Country]]&amp;"*",Table6[],3,FALSE),0)</f>
        <v>0</v>
      </c>
      <c r="L113">
        <f>CORREL(Table38[Life expectancy at birth],Table38[GDP - per capita (PPP)])</f>
        <v>0.66243787801142506</v>
      </c>
      <c r="M113">
        <f>(Table38[[#This Row],[Life expectancy at birth]]-$I$199)/$I$201</f>
        <v>0.61392405063291144</v>
      </c>
      <c r="N113" s="28">
        <f>(Table38[[#This Row],[GDP - per capita (PPP)]]-$K$199)/$K$201</f>
        <v>0</v>
      </c>
    </row>
    <row r="114" spans="1:14" x14ac:dyDescent="0.25">
      <c r="A114" s="11" t="s">
        <v>127</v>
      </c>
      <c r="B114" s="26">
        <v>124</v>
      </c>
      <c r="C114" s="12">
        <v>13050</v>
      </c>
      <c r="D114" s="11">
        <v>2019</v>
      </c>
      <c r="G114" s="42">
        <v>113</v>
      </c>
      <c r="H114" t="s">
        <v>345</v>
      </c>
      <c r="I114" s="43">
        <v>72.900000000000006</v>
      </c>
      <c r="J114">
        <v>2020</v>
      </c>
      <c r="K114">
        <f>IFERROR(VLOOKUP("*"&amp;Table38[[#This Row],[Country]]&amp;"*",Table6[],3,FALSE),0)</f>
        <v>27044</v>
      </c>
      <c r="L114">
        <f>CORREL(Table38[Life expectancy at birth],Table38[GDP - per capita (PPP)])</f>
        <v>0.66243787801142506</v>
      </c>
      <c r="M114">
        <f>(Table38[[#This Row],[Life expectancy at birth]]-$I$199)/$I$201</f>
        <v>0.62025316455696211</v>
      </c>
      <c r="N114" s="28">
        <f>(Table38[[#This Row],[GDP - per capita (PPP)]]-$K$199)/$K$201</f>
        <v>0.27782743140095129</v>
      </c>
    </row>
    <row r="115" spans="1:14" x14ac:dyDescent="0.25">
      <c r="A115" s="32" t="s">
        <v>452</v>
      </c>
      <c r="B115" s="27">
        <v>1</v>
      </c>
      <c r="C115" s="10">
        <v>190513</v>
      </c>
      <c r="D115" s="14">
        <v>2019</v>
      </c>
      <c r="G115" s="42">
        <v>114</v>
      </c>
      <c r="H115" t="s">
        <v>346</v>
      </c>
      <c r="I115" s="43">
        <v>72.599999999999994</v>
      </c>
      <c r="J115">
        <v>2020</v>
      </c>
      <c r="K115">
        <f>IFERROR(VLOOKUP("*"&amp;Table38[[#This Row],[Country]]&amp;"*",Table6[],3,FALSE),0)</f>
        <v>4754</v>
      </c>
      <c r="L115">
        <f>CORREL(Table38[Life expectancy at birth],Table38[GDP - per capita (PPP)])</f>
        <v>0.66243787801142506</v>
      </c>
      <c r="M115">
        <f>(Table38[[#This Row],[Life expectancy at birth]]-$I$199)/$I$201</f>
        <v>0.61075949367088578</v>
      </c>
      <c r="N115" s="28">
        <f>(Table38[[#This Row],[GDP - per capita (PPP)]]-$K$199)/$K$201</f>
        <v>4.8838618875910463E-2</v>
      </c>
    </row>
    <row r="116" spans="1:14" x14ac:dyDescent="0.25">
      <c r="A116" s="13" t="s">
        <v>134</v>
      </c>
      <c r="B116" s="27">
        <v>131</v>
      </c>
      <c r="C116" s="10">
        <v>12317</v>
      </c>
      <c r="D116" s="13">
        <v>2019</v>
      </c>
      <c r="G116" s="42">
        <v>115</v>
      </c>
      <c r="H116" t="s">
        <v>347</v>
      </c>
      <c r="I116" s="43">
        <v>72.5</v>
      </c>
      <c r="J116">
        <v>2020</v>
      </c>
      <c r="K116">
        <f>IFERROR(VLOOKUP("*"&amp;Table38[[#This Row],[Country]]&amp;"*",Table6[],3,FALSE),0)</f>
        <v>0</v>
      </c>
      <c r="L116">
        <f>CORREL(Table38[Life expectancy at birth],Table38[GDP - per capita (PPP)])</f>
        <v>0.66243787801142506</v>
      </c>
      <c r="M116">
        <f>(Table38[[#This Row],[Life expectancy at birth]]-$I$199)/$I$201</f>
        <v>0.60759493670886067</v>
      </c>
      <c r="N116" s="28">
        <f>(Table38[[#This Row],[GDP - per capita (PPP)]]-$K$199)/$K$201</f>
        <v>0</v>
      </c>
    </row>
    <row r="117" spans="1:14" x14ac:dyDescent="0.25">
      <c r="A117" s="11" t="s">
        <v>92</v>
      </c>
      <c r="B117" s="26">
        <v>89</v>
      </c>
      <c r="C117" s="12">
        <v>21470</v>
      </c>
      <c r="D117" s="11">
        <v>2019</v>
      </c>
      <c r="G117" s="42">
        <v>116</v>
      </c>
      <c r="H117" t="s">
        <v>348</v>
      </c>
      <c r="I117" s="43">
        <v>72.400000000000006</v>
      </c>
      <c r="J117">
        <v>2020</v>
      </c>
      <c r="K117">
        <f>IFERROR(VLOOKUP("*"&amp;Table38[[#This Row],[Country]]&amp;"*",Table6[],3,FALSE),0)</f>
        <v>17039</v>
      </c>
      <c r="L117">
        <f>CORREL(Table38[Life expectancy at birth],Table38[GDP - per capita (PPP)])</f>
        <v>0.66243787801142506</v>
      </c>
      <c r="M117">
        <f>(Table38[[#This Row],[Life expectancy at birth]]-$I$199)/$I$201</f>
        <v>0.60443037974683556</v>
      </c>
      <c r="N117" s="28">
        <f>(Table38[[#This Row],[GDP - per capita (PPP)]]-$K$199)/$K$201</f>
        <v>0.17504443143177079</v>
      </c>
    </row>
    <row r="118" spans="1:14" x14ac:dyDescent="0.25">
      <c r="A118" s="11" t="s">
        <v>159</v>
      </c>
      <c r="B118" s="26">
        <v>156</v>
      </c>
      <c r="C118" s="12">
        <v>7515</v>
      </c>
      <c r="D118" s="11">
        <v>2019</v>
      </c>
      <c r="G118" s="42">
        <v>117</v>
      </c>
      <c r="H118" t="s">
        <v>349</v>
      </c>
      <c r="I118" s="43">
        <v>72.099999999999994</v>
      </c>
      <c r="J118">
        <v>2020</v>
      </c>
      <c r="K118">
        <f>IFERROR(VLOOKUP("*"&amp;Table38[[#This Row],[Country]]&amp;"*",Table6[],3,FALSE),0)</f>
        <v>12810</v>
      </c>
      <c r="L118">
        <f>CORREL(Table38[Life expectancy at birth],Table38[GDP - per capita (PPP)])</f>
        <v>0.66243787801142506</v>
      </c>
      <c r="M118">
        <f>(Table38[[#This Row],[Life expectancy at birth]]-$I$199)/$I$201</f>
        <v>0.59493670886075922</v>
      </c>
      <c r="N118" s="28">
        <f>(Table38[[#This Row],[GDP - per capita (PPP)]]-$K$199)/$K$201</f>
        <v>0.1315992233488458</v>
      </c>
    </row>
    <row r="119" spans="1:14" x14ac:dyDescent="0.25">
      <c r="A119" s="13" t="s">
        <v>225</v>
      </c>
      <c r="B119" s="27">
        <v>222</v>
      </c>
      <c r="C119" s="10">
        <v>1281</v>
      </c>
      <c r="D119" s="13">
        <v>2019</v>
      </c>
      <c r="G119" s="42">
        <v>118</v>
      </c>
      <c r="H119" t="s">
        <v>350</v>
      </c>
      <c r="I119" s="43">
        <v>72.099999999999994</v>
      </c>
      <c r="J119">
        <v>2020</v>
      </c>
      <c r="K119">
        <f>IFERROR(VLOOKUP("*"&amp;Table38[[#This Row],[Country]]&amp;"*",Table6[],3,FALSE),0)</f>
        <v>0</v>
      </c>
      <c r="L119">
        <f>CORREL(Table38[Life expectancy at birth],Table38[GDP - per capita (PPP)])</f>
        <v>0.66243787801142506</v>
      </c>
      <c r="M119">
        <f>(Table38[[#This Row],[Life expectancy at birth]]-$I$199)/$I$201</f>
        <v>0.59493670886075922</v>
      </c>
      <c r="N119" s="28">
        <f>(Table38[[#This Row],[GDP - per capita (PPP)]]-$K$199)/$K$201</f>
        <v>0</v>
      </c>
    </row>
    <row r="120" spans="1:14" x14ac:dyDescent="0.25">
      <c r="A120" s="11" t="s">
        <v>177</v>
      </c>
      <c r="B120" s="26">
        <v>174</v>
      </c>
      <c r="C120" s="12">
        <v>5142</v>
      </c>
      <c r="D120" s="11">
        <v>2019</v>
      </c>
      <c r="G120" s="42">
        <v>119</v>
      </c>
      <c r="H120" t="s">
        <v>351</v>
      </c>
      <c r="I120" s="43">
        <v>72.099999999999994</v>
      </c>
      <c r="J120">
        <v>2020</v>
      </c>
      <c r="K120">
        <f>IFERROR(VLOOKUP("*"&amp;Table38[[#This Row],[Country]]&amp;"*",Table6[],3,FALSE),0)</f>
        <v>0</v>
      </c>
      <c r="L120">
        <f>CORREL(Table38[Life expectancy at birth],Table38[GDP - per capita (PPP)])</f>
        <v>0.66243787801142506</v>
      </c>
      <c r="M120">
        <f>(Table38[[#This Row],[Life expectancy at birth]]-$I$199)/$I$201</f>
        <v>0.59493670886075922</v>
      </c>
      <c r="N120" s="28">
        <f>(Table38[[#This Row],[GDP - per capita (PPP)]]-$K$199)/$K$201</f>
        <v>0</v>
      </c>
    </row>
    <row r="121" spans="1:14" x14ac:dyDescent="0.25">
      <c r="A121" s="11" t="s">
        <v>150</v>
      </c>
      <c r="B121" s="26">
        <v>147</v>
      </c>
      <c r="C121" s="12">
        <v>9637</v>
      </c>
      <c r="D121" s="11">
        <v>2019</v>
      </c>
      <c r="G121" s="42">
        <v>120</v>
      </c>
      <c r="H121" t="s">
        <v>352</v>
      </c>
      <c r="I121" s="43">
        <v>72</v>
      </c>
      <c r="J121">
        <v>2020</v>
      </c>
      <c r="K121">
        <f>IFERROR(VLOOKUP("*"&amp;Table38[[#This Row],[Country]]&amp;"*",Table6[],3,FALSE),0)</f>
        <v>11763</v>
      </c>
      <c r="L121">
        <f>CORREL(Table38[Life expectancy at birth],Table38[GDP - per capita (PPP)])</f>
        <v>0.66243787801142506</v>
      </c>
      <c r="M121">
        <f>(Table38[[#This Row],[Life expectancy at birth]]-$I$199)/$I$201</f>
        <v>0.59177215189873411</v>
      </c>
      <c r="N121" s="28">
        <f>(Table38[[#This Row],[GDP - per capita (PPP)]]-$K$199)/$K$201</f>
        <v>0.12084322125312047</v>
      </c>
    </row>
    <row r="122" spans="1:14" x14ac:dyDescent="0.25">
      <c r="A122" s="11" t="s">
        <v>141</v>
      </c>
      <c r="B122" s="26">
        <v>138</v>
      </c>
      <c r="C122" s="12">
        <v>11583</v>
      </c>
      <c r="D122" s="11">
        <v>2019</v>
      </c>
      <c r="G122" s="42">
        <v>121</v>
      </c>
      <c r="H122" t="s">
        <v>353</v>
      </c>
      <c r="I122" s="43">
        <v>71.900000000000006</v>
      </c>
      <c r="J122">
        <v>2020</v>
      </c>
      <c r="K122">
        <f>IFERROR(VLOOKUP("*"&amp;Table38[[#This Row],[Country]]&amp;"*",Table6[],3,FALSE),0)</f>
        <v>13050</v>
      </c>
      <c r="L122">
        <f>CORREL(Table38[Life expectancy at birth],Table38[GDP - per capita (PPP)])</f>
        <v>0.66243787801142506</v>
      </c>
      <c r="M122">
        <f>(Table38[[#This Row],[Life expectancy at birth]]-$I$199)/$I$201</f>
        <v>0.588607594936709</v>
      </c>
      <c r="N122" s="28">
        <f>(Table38[[#This Row],[GDP - per capita (PPP)]]-$K$199)/$K$201</f>
        <v>0.13406478256849633</v>
      </c>
    </row>
    <row r="123" spans="1:14" x14ac:dyDescent="0.25">
      <c r="A123" s="11" t="s">
        <v>194</v>
      </c>
      <c r="B123" s="26">
        <v>191</v>
      </c>
      <c r="C123" s="12">
        <v>3417</v>
      </c>
      <c r="D123" s="11">
        <v>2019</v>
      </c>
      <c r="G123" s="42">
        <v>122</v>
      </c>
      <c r="H123" t="s">
        <v>354</v>
      </c>
      <c r="I123" s="43">
        <v>71.8</v>
      </c>
      <c r="J123">
        <v>2020</v>
      </c>
      <c r="K123">
        <f>IFERROR(VLOOKUP("*"&amp;Table38[[#This Row],[Country]]&amp;"*",Table6[],3,FALSE),0)</f>
        <v>11832</v>
      </c>
      <c r="L123">
        <f>CORREL(Table38[Life expectancy at birth],Table38[GDP - per capita (PPP)])</f>
        <v>0.66243787801142506</v>
      </c>
      <c r="M123">
        <f>(Table38[[#This Row],[Life expectancy at birth]]-$I$199)/$I$201</f>
        <v>0.58544303797468333</v>
      </c>
      <c r="N123" s="28">
        <f>(Table38[[#This Row],[GDP - per capita (PPP)]]-$K$199)/$K$201</f>
        <v>0.12155206952877</v>
      </c>
    </row>
    <row r="124" spans="1:14" x14ac:dyDescent="0.25">
      <c r="A124" s="11" t="s">
        <v>24</v>
      </c>
      <c r="B124" s="26">
        <v>21</v>
      </c>
      <c r="C124" s="12">
        <v>56935</v>
      </c>
      <c r="D124" s="11">
        <v>2019</v>
      </c>
      <c r="G124" s="42">
        <v>123</v>
      </c>
      <c r="H124" t="s">
        <v>355</v>
      </c>
      <c r="I124" s="43">
        <v>71.8</v>
      </c>
      <c r="J124">
        <v>2020</v>
      </c>
      <c r="K124">
        <f>IFERROR(VLOOKUP("*"&amp;Table38[[#This Row],[Country]]&amp;"*",Table6[],3,FALSE),0)</f>
        <v>16525</v>
      </c>
      <c r="L124">
        <f>CORREL(Table38[Life expectancy at birth],Table38[GDP - per capita (PPP)])</f>
        <v>0.66243787801142506</v>
      </c>
      <c r="M124">
        <f>(Table38[[#This Row],[Life expectancy at birth]]-$I$199)/$I$201</f>
        <v>0.58544303797468333</v>
      </c>
      <c r="N124" s="28">
        <f>(Table38[[#This Row],[GDP - per capita (PPP)]]-$K$199)/$K$201</f>
        <v>0.16976402543635261</v>
      </c>
    </row>
    <row r="125" spans="1:14" x14ac:dyDescent="0.25">
      <c r="A125" s="11" t="s">
        <v>45</v>
      </c>
      <c r="B125" s="26">
        <v>42</v>
      </c>
      <c r="C125" s="12">
        <v>42888</v>
      </c>
      <c r="D125" s="11">
        <v>2019</v>
      </c>
      <c r="G125" s="42">
        <v>124</v>
      </c>
      <c r="H125" t="s">
        <v>356</v>
      </c>
      <c r="I125" s="43">
        <v>71.7</v>
      </c>
      <c r="J125">
        <v>2020</v>
      </c>
      <c r="K125">
        <f>IFERROR(VLOOKUP("*"&amp;Table38[[#This Row],[Country]]&amp;"*",Table6[],3,FALSE),0)</f>
        <v>6999</v>
      </c>
      <c r="L125">
        <f>CORREL(Table38[Life expectancy at birth],Table38[GDP - per capita (PPP)])</f>
        <v>0.66243787801142506</v>
      </c>
      <c r="M125">
        <f>(Table38[[#This Row],[Life expectancy at birth]]-$I$199)/$I$201</f>
        <v>0.58227848101265822</v>
      </c>
      <c r="N125" s="28">
        <f>(Table38[[#This Row],[GDP - per capita (PPP)]]-$K$199)/$K$201</f>
        <v>7.1901870743057913E-2</v>
      </c>
    </row>
    <row r="126" spans="1:14" x14ac:dyDescent="0.25">
      <c r="A126" s="11" t="s">
        <v>173</v>
      </c>
      <c r="B126" s="26">
        <v>170</v>
      </c>
      <c r="C126" s="12">
        <v>5407</v>
      </c>
      <c r="D126" s="11">
        <v>2019</v>
      </c>
      <c r="G126" s="42">
        <v>125</v>
      </c>
      <c r="H126" t="s">
        <v>357</v>
      </c>
      <c r="I126" s="43">
        <v>71.7</v>
      </c>
      <c r="J126">
        <v>2020</v>
      </c>
      <c r="K126">
        <f>IFERROR(VLOOKUP("*"&amp;Table38[[#This Row],[Country]]&amp;"*",Table6[],3,FALSE),0)</f>
        <v>11812</v>
      </c>
      <c r="L126">
        <f>CORREL(Table38[Life expectancy at birth],Table38[GDP - per capita (PPP)])</f>
        <v>0.66243787801142506</v>
      </c>
      <c r="M126">
        <f>(Table38[[#This Row],[Life expectancy at birth]]-$I$199)/$I$201</f>
        <v>0.58227848101265822</v>
      </c>
      <c r="N126" s="28">
        <f>(Table38[[#This Row],[GDP - per capita (PPP)]]-$K$199)/$K$201</f>
        <v>0.12134660626046578</v>
      </c>
    </row>
    <row r="127" spans="1:14" x14ac:dyDescent="0.25">
      <c r="A127" s="11" t="s">
        <v>226</v>
      </c>
      <c r="B127" s="26">
        <v>223</v>
      </c>
      <c r="C127" s="12">
        <v>1225</v>
      </c>
      <c r="D127" s="11">
        <v>2019</v>
      </c>
      <c r="G127" s="42">
        <v>126</v>
      </c>
      <c r="H127" t="s">
        <v>358</v>
      </c>
      <c r="I127" s="43">
        <v>71.5</v>
      </c>
      <c r="J127">
        <v>2020</v>
      </c>
      <c r="K127">
        <f>IFERROR(VLOOKUP("*"&amp;Table38[[#This Row],[Country]]&amp;"*",Table6[],3,FALSE),0)</f>
        <v>8724</v>
      </c>
      <c r="L127">
        <f>CORREL(Table38[Life expectancy at birth],Table38[GDP - per capita (PPP)])</f>
        <v>0.66243787801142506</v>
      </c>
      <c r="M127">
        <f>(Table38[[#This Row],[Life expectancy at birth]]-$I$199)/$I$201</f>
        <v>0.57594936708860756</v>
      </c>
      <c r="N127" s="28">
        <f>(Table38[[#This Row],[GDP - per capita (PPP)]]-$K$199)/$K$201</f>
        <v>8.9623077634295931E-2</v>
      </c>
    </row>
    <row r="128" spans="1:14" x14ac:dyDescent="0.25">
      <c r="A128" s="13" t="s">
        <v>178</v>
      </c>
      <c r="B128" s="27">
        <v>175</v>
      </c>
      <c r="C128" s="10">
        <v>5136</v>
      </c>
      <c r="D128" s="13">
        <v>2019</v>
      </c>
      <c r="G128" s="42">
        <v>127</v>
      </c>
      <c r="H128" t="s">
        <v>359</v>
      </c>
      <c r="I128" s="43">
        <v>71.5</v>
      </c>
      <c r="J128">
        <v>2020</v>
      </c>
      <c r="K128">
        <f>IFERROR(VLOOKUP("*"&amp;Table38[[#This Row],[Country]]&amp;"*",Table6[],3,FALSE),0)</f>
        <v>5253</v>
      </c>
      <c r="L128">
        <f>CORREL(Table38[Life expectancy at birth],Table38[GDP - per capita (PPP)])</f>
        <v>0.66243787801142506</v>
      </c>
      <c r="M128">
        <f>(Table38[[#This Row],[Life expectancy at birth]]-$I$199)/$I$201</f>
        <v>0.57594936708860756</v>
      </c>
      <c r="N128" s="28">
        <f>(Table38[[#This Row],[GDP - per capita (PPP)]]-$K$199)/$K$201</f>
        <v>5.3964927420100471E-2</v>
      </c>
    </row>
    <row r="129" spans="1:14" x14ac:dyDescent="0.25">
      <c r="A129" s="13" t="s">
        <v>109</v>
      </c>
      <c r="B129" s="27">
        <v>106</v>
      </c>
      <c r="C129" s="10">
        <v>16479</v>
      </c>
      <c r="D129" s="13">
        <v>2019</v>
      </c>
      <c r="G129" s="42">
        <v>128</v>
      </c>
      <c r="H129" t="s">
        <v>360</v>
      </c>
      <c r="I129" s="43">
        <v>71.2</v>
      </c>
      <c r="J129">
        <v>2020</v>
      </c>
      <c r="K129">
        <f>IFERROR(VLOOKUP("*"&amp;Table38[[#This Row],[Country]]&amp;"*",Table6[],3,FALSE),0)</f>
        <v>8908</v>
      </c>
      <c r="L129">
        <f>CORREL(Table38[Life expectancy at birth],Table38[GDP - per capita (PPP)])</f>
        <v>0.66243787801142506</v>
      </c>
      <c r="M129">
        <f>(Table38[[#This Row],[Life expectancy at birth]]-$I$199)/$I$201</f>
        <v>0.56645569620253167</v>
      </c>
      <c r="N129" s="28">
        <f>(Table38[[#This Row],[GDP - per capita (PPP)]]-$K$199)/$K$201</f>
        <v>9.1513339702694652E-2</v>
      </c>
    </row>
    <row r="130" spans="1:14" x14ac:dyDescent="0.25">
      <c r="A130" s="13" t="s">
        <v>17</v>
      </c>
      <c r="B130" s="27">
        <v>14</v>
      </c>
      <c r="C130" s="10">
        <v>63633</v>
      </c>
      <c r="D130" s="13">
        <v>2019</v>
      </c>
      <c r="G130" s="42">
        <v>129</v>
      </c>
      <c r="H130" t="s">
        <v>361</v>
      </c>
      <c r="I130" s="43">
        <v>71.099999999999994</v>
      </c>
      <c r="J130">
        <v>2020</v>
      </c>
      <c r="K130">
        <f>IFERROR(VLOOKUP("*"&amp;Table38[[#This Row],[Country]]&amp;"*",Table6[],3,FALSE),0)</f>
        <v>3380</v>
      </c>
      <c r="L130">
        <f>CORREL(Table38[Life expectancy at birth],Table38[GDP - per capita (PPP)])</f>
        <v>0.66243787801142506</v>
      </c>
      <c r="M130">
        <f>(Table38[[#This Row],[Life expectancy at birth]]-$I$199)/$I$201</f>
        <v>0.56329113924050611</v>
      </c>
      <c r="N130" s="28">
        <f>(Table38[[#This Row],[GDP - per capita (PPP)]]-$K$199)/$K$201</f>
        <v>3.4723292343411309E-2</v>
      </c>
    </row>
    <row r="131" spans="1:14" x14ac:dyDescent="0.25">
      <c r="A131" s="11" t="s">
        <v>79</v>
      </c>
      <c r="B131" s="26">
        <v>76</v>
      </c>
      <c r="C131" s="12">
        <v>27299</v>
      </c>
      <c r="D131" s="11">
        <v>2019</v>
      </c>
      <c r="G131" s="42">
        <v>130</v>
      </c>
      <c r="H131" t="s">
        <v>362</v>
      </c>
      <c r="I131" s="43">
        <v>70.900000000000006</v>
      </c>
      <c r="J131">
        <v>2020</v>
      </c>
      <c r="K131">
        <f>IFERROR(VLOOKUP("*"&amp;Table38[[#This Row],[Country]]&amp;"*",Table6[],3,FALSE),0)</f>
        <v>6383</v>
      </c>
      <c r="L131">
        <f>CORREL(Table38[Life expectancy at birth],Table38[GDP - per capita (PPP)])</f>
        <v>0.66243787801142506</v>
      </c>
      <c r="M131">
        <f>(Table38[[#This Row],[Life expectancy at birth]]-$I$199)/$I$201</f>
        <v>0.55696202531645578</v>
      </c>
      <c r="N131" s="28">
        <f>(Table38[[#This Row],[GDP - per capita (PPP)]]-$K$199)/$K$201</f>
        <v>6.5573602079288279E-2</v>
      </c>
    </row>
    <row r="132" spans="1:14" x14ac:dyDescent="0.25">
      <c r="A132" s="13" t="s">
        <v>180</v>
      </c>
      <c r="B132" s="27">
        <v>177</v>
      </c>
      <c r="C132" s="10">
        <v>4690</v>
      </c>
      <c r="D132" s="13">
        <v>2019</v>
      </c>
      <c r="G132" s="42">
        <v>131</v>
      </c>
      <c r="H132" t="s">
        <v>363</v>
      </c>
      <c r="I132" s="43">
        <v>70.8</v>
      </c>
      <c r="J132">
        <v>2020</v>
      </c>
      <c r="K132">
        <f>IFERROR(VLOOKUP("*"&amp;Table38[[#This Row],[Country]]&amp;"*",Table6[],3,FALSE),0)</f>
        <v>3417</v>
      </c>
      <c r="L132">
        <f>CORREL(Table38[Life expectancy at birth],Table38[GDP - per capita (PPP)])</f>
        <v>0.66243787801142506</v>
      </c>
      <c r="M132">
        <f>(Table38[[#This Row],[Life expectancy at birth]]-$I$199)/$I$201</f>
        <v>0.55379746835443022</v>
      </c>
      <c r="N132" s="28">
        <f>(Table38[[#This Row],[GDP - per capita (PPP)]]-$K$199)/$K$201</f>
        <v>3.5103399389774095E-2</v>
      </c>
    </row>
    <row r="133" spans="1:14" x14ac:dyDescent="0.25">
      <c r="A133" s="11" t="s">
        <v>103</v>
      </c>
      <c r="B133" s="26">
        <v>100</v>
      </c>
      <c r="C133" s="12">
        <v>17579</v>
      </c>
      <c r="D133" s="11">
        <v>2019</v>
      </c>
      <c r="G133" s="42">
        <v>132</v>
      </c>
      <c r="H133" t="s">
        <v>364</v>
      </c>
      <c r="I133" s="43">
        <v>70.599999999999994</v>
      </c>
      <c r="J133">
        <v>2020</v>
      </c>
      <c r="K133">
        <f>IFERROR(VLOOKUP("*"&amp;Table38[[#This Row],[Country]]&amp;"*",Table6[],3,FALSE),0)</f>
        <v>10881</v>
      </c>
      <c r="L133">
        <f>CORREL(Table38[Life expectancy at birth],Table38[GDP - per capita (PPP)])</f>
        <v>0.66243787801142506</v>
      </c>
      <c r="M133">
        <f>(Table38[[#This Row],[Life expectancy at birth]]-$I$199)/$I$201</f>
        <v>0.54746835443037956</v>
      </c>
      <c r="N133" s="28">
        <f>(Table38[[#This Row],[GDP - per capita (PPP)]]-$K$199)/$K$201</f>
        <v>0.11178229112090486</v>
      </c>
    </row>
    <row r="134" spans="1:14" x14ac:dyDescent="0.25">
      <c r="A134" s="11" t="s">
        <v>167</v>
      </c>
      <c r="B134" s="26">
        <v>164</v>
      </c>
      <c r="C134" s="12">
        <v>6220</v>
      </c>
      <c r="D134" s="11">
        <v>2019</v>
      </c>
      <c r="G134" s="42">
        <v>133</v>
      </c>
      <c r="H134" t="s">
        <v>365</v>
      </c>
      <c r="I134" s="43">
        <v>70.5</v>
      </c>
      <c r="J134">
        <v>2020</v>
      </c>
      <c r="K134">
        <f>IFERROR(VLOOKUP("*"&amp;Table38[[#This Row],[Country]]&amp;"*",Table6[],3,FALSE),0)</f>
        <v>3153</v>
      </c>
      <c r="L134">
        <f>CORREL(Table38[Life expectancy at birth],Table38[GDP - per capita (PPP)])</f>
        <v>0.66243787801142506</v>
      </c>
      <c r="M134">
        <f>(Table38[[#This Row],[Life expectancy at birth]]-$I$199)/$I$201</f>
        <v>0.54430379746835433</v>
      </c>
      <c r="N134" s="28">
        <f>(Table38[[#This Row],[GDP - per capita (PPP)]]-$K$199)/$K$201</f>
        <v>3.2391284248158535E-2</v>
      </c>
    </row>
    <row r="135" spans="1:14" x14ac:dyDescent="0.25">
      <c r="A135" s="13" t="s">
        <v>69</v>
      </c>
      <c r="B135" s="27">
        <v>66</v>
      </c>
      <c r="C135" s="10">
        <v>31459</v>
      </c>
      <c r="D135" s="13">
        <v>2019</v>
      </c>
      <c r="G135" s="42">
        <v>134</v>
      </c>
      <c r="H135" t="s">
        <v>366</v>
      </c>
      <c r="I135" s="43">
        <v>70.400000000000006</v>
      </c>
      <c r="J135">
        <v>2020</v>
      </c>
      <c r="K135">
        <f>IFERROR(VLOOKUP("*"&amp;Table38[[#This Row],[Country]]&amp;"*",Table6[],3,FALSE),0)</f>
        <v>3970</v>
      </c>
      <c r="L135">
        <f>CORREL(Table38[Life expectancy at birth],Table38[GDP - per capita (PPP)])</f>
        <v>0.66243787801142506</v>
      </c>
      <c r="M135">
        <f>(Table38[[#This Row],[Life expectancy at birth]]-$I$199)/$I$201</f>
        <v>0.54113924050632922</v>
      </c>
      <c r="N135" s="28">
        <f>(Table38[[#This Row],[GDP - per capita (PPP)]]-$K$199)/$K$201</f>
        <v>4.0784458758385468E-2</v>
      </c>
    </row>
    <row r="136" spans="1:14" x14ac:dyDescent="0.25">
      <c r="A136" s="13" t="s">
        <v>182</v>
      </c>
      <c r="B136" s="27">
        <v>179</v>
      </c>
      <c r="C136" s="10">
        <v>4355</v>
      </c>
      <c r="D136" s="13">
        <v>2019</v>
      </c>
      <c r="G136" s="42">
        <v>135</v>
      </c>
      <c r="H136" t="s">
        <v>367</v>
      </c>
      <c r="I136" s="43">
        <v>69.900000000000006</v>
      </c>
      <c r="J136">
        <v>2020</v>
      </c>
      <c r="K136">
        <f>IFERROR(VLOOKUP("*"&amp;Table38[[#This Row],[Country]]&amp;"*",Table6[],3,FALSE),0)</f>
        <v>12317</v>
      </c>
      <c r="L136">
        <f>CORREL(Table38[Life expectancy at birth],Table38[GDP - per capita (PPP)])</f>
        <v>0.66243787801142506</v>
      </c>
      <c r="M136">
        <f>(Table38[[#This Row],[Life expectancy at birth]]-$I$199)/$I$201</f>
        <v>0.52531645569620267</v>
      </c>
      <c r="N136" s="28">
        <f>(Table38[[#This Row],[GDP - per capita (PPP)]]-$K$199)/$K$201</f>
        <v>0.12653455378514705</v>
      </c>
    </row>
    <row r="137" spans="1:14" x14ac:dyDescent="0.25">
      <c r="A137" s="13" t="s">
        <v>130</v>
      </c>
      <c r="B137" s="27">
        <v>127</v>
      </c>
      <c r="C137" s="10">
        <v>12685</v>
      </c>
      <c r="D137" s="13">
        <v>2019</v>
      </c>
      <c r="G137" s="42">
        <v>136</v>
      </c>
      <c r="H137" t="s">
        <v>368</v>
      </c>
      <c r="I137" s="43">
        <v>69.900000000000006</v>
      </c>
      <c r="J137">
        <v>2020</v>
      </c>
      <c r="K137">
        <f>IFERROR(VLOOKUP("*"&amp;Table38[[#This Row],[Country]]&amp;"*",Table6[],3,FALSE),0)</f>
        <v>0</v>
      </c>
      <c r="L137">
        <f>CORREL(Table38[Life expectancy at birth],Table38[GDP - per capita (PPP)])</f>
        <v>0.66243787801142506</v>
      </c>
      <c r="M137">
        <f>(Table38[[#This Row],[Life expectancy at birth]]-$I$199)/$I$201</f>
        <v>0.52531645569620267</v>
      </c>
      <c r="N137" s="28">
        <f>(Table38[[#This Row],[GDP - per capita (PPP)]]-$K$199)/$K$201</f>
        <v>0</v>
      </c>
    </row>
    <row r="138" spans="1:14" x14ac:dyDescent="0.25">
      <c r="A138" s="13" t="s">
        <v>128</v>
      </c>
      <c r="B138" s="27">
        <v>125</v>
      </c>
      <c r="C138" s="10">
        <v>12848</v>
      </c>
      <c r="D138" s="13">
        <v>2019</v>
      </c>
      <c r="G138" s="42">
        <v>137</v>
      </c>
      <c r="H138" t="s">
        <v>369</v>
      </c>
      <c r="I138" s="43">
        <v>69.900000000000006</v>
      </c>
      <c r="J138">
        <v>2020</v>
      </c>
      <c r="K138">
        <f>IFERROR(VLOOKUP("*"&amp;Table38[[#This Row],[Country]]&amp;"*",Table6[],3,FALSE),0)</f>
        <v>13082</v>
      </c>
      <c r="L138">
        <f>CORREL(Table38[Life expectancy at birth],Table38[GDP - per capita (PPP)])</f>
        <v>0.66243787801142506</v>
      </c>
      <c r="M138">
        <f>(Table38[[#This Row],[Life expectancy at birth]]-$I$199)/$I$201</f>
        <v>0.52531645569620267</v>
      </c>
      <c r="N138" s="28">
        <f>(Table38[[#This Row],[GDP - per capita (PPP)]]-$K$199)/$K$201</f>
        <v>0.13439352379778305</v>
      </c>
    </row>
    <row r="139" spans="1:14" x14ac:dyDescent="0.25">
      <c r="A139" s="13" t="s">
        <v>151</v>
      </c>
      <c r="B139" s="27">
        <v>148</v>
      </c>
      <c r="C139" s="10">
        <v>8908</v>
      </c>
      <c r="D139" s="13">
        <v>2019</v>
      </c>
      <c r="G139" s="42">
        <v>138</v>
      </c>
      <c r="H139" t="s">
        <v>370</v>
      </c>
      <c r="I139" s="43">
        <v>69.8</v>
      </c>
      <c r="J139">
        <v>2020</v>
      </c>
      <c r="K139">
        <f>IFERROR(VLOOKUP("*"&amp;Table38[[#This Row],[Country]]&amp;"*",Table6[],3,FALSE),0)</f>
        <v>4389</v>
      </c>
      <c r="L139">
        <f>CORREL(Table38[Life expectancy at birth],Table38[GDP - per capita (PPP)])</f>
        <v>0.66243787801142506</v>
      </c>
      <c r="M139">
        <f>(Table38[[#This Row],[Life expectancy at birth]]-$I$199)/$I$201</f>
        <v>0.52215189873417711</v>
      </c>
      <c r="N139" s="28">
        <f>(Table38[[#This Row],[GDP - per capita (PPP)]]-$K$199)/$K$201</f>
        <v>4.5088914229358644E-2</v>
      </c>
    </row>
    <row r="140" spans="1:14" x14ac:dyDescent="0.25">
      <c r="A140" s="11" t="s">
        <v>66</v>
      </c>
      <c r="B140" s="26">
        <v>63</v>
      </c>
      <c r="C140" s="12">
        <v>33221</v>
      </c>
      <c r="D140" s="11">
        <v>2019</v>
      </c>
      <c r="G140" s="42">
        <v>139</v>
      </c>
      <c r="H140" t="s">
        <v>371</v>
      </c>
      <c r="I140" s="43">
        <v>69.7</v>
      </c>
      <c r="J140">
        <v>2020</v>
      </c>
      <c r="K140">
        <f>IFERROR(VLOOKUP("*"&amp;Table38[[#This Row],[Country]]&amp;"*",Table6[],3,FALSE),0)</f>
        <v>6700</v>
      </c>
      <c r="L140">
        <f>CORREL(Table38[Life expectancy at birth],Table38[GDP - per capita (PPP)])</f>
        <v>0.66243787801142506</v>
      </c>
      <c r="M140">
        <f>(Table38[[#This Row],[Life expectancy at birth]]-$I$199)/$I$201</f>
        <v>0.51898734177215189</v>
      </c>
      <c r="N140" s="28">
        <f>(Table38[[#This Row],[GDP - per capita (PPP)]]-$K$199)/$K$201</f>
        <v>6.8830194881909987E-2</v>
      </c>
    </row>
    <row r="141" spans="1:14" x14ac:dyDescent="0.25">
      <c r="A141" s="11" t="s">
        <v>63</v>
      </c>
      <c r="B141" s="26">
        <v>60</v>
      </c>
      <c r="C141" s="12">
        <v>34894</v>
      </c>
      <c r="D141" s="11">
        <v>2019</v>
      </c>
      <c r="G141" s="42">
        <v>140</v>
      </c>
      <c r="H141" t="s">
        <v>372</v>
      </c>
      <c r="I141" s="43">
        <v>69.599999999999994</v>
      </c>
      <c r="J141">
        <v>2020</v>
      </c>
      <c r="K141">
        <f>IFERROR(VLOOKUP("*"&amp;Table38[[#This Row],[Country]]&amp;"*",Table6[],3,FALSE),0)</f>
        <v>17767</v>
      </c>
      <c r="L141">
        <f>CORREL(Table38[Life expectancy at birth],Table38[GDP - per capita (PPP)])</f>
        <v>0.66243787801142506</v>
      </c>
      <c r="M141">
        <f>(Table38[[#This Row],[Life expectancy at birth]]-$I$199)/$I$201</f>
        <v>0.51582278481012633</v>
      </c>
      <c r="N141" s="28">
        <f>(Table38[[#This Row],[GDP - per capita (PPP)]]-$K$199)/$K$201</f>
        <v>0.18252329439804399</v>
      </c>
    </row>
    <row r="142" spans="1:14" x14ac:dyDescent="0.25">
      <c r="A142" s="13" t="s">
        <v>64</v>
      </c>
      <c r="B142" s="27">
        <v>61</v>
      </c>
      <c r="C142" s="10">
        <v>34518</v>
      </c>
      <c r="D142" s="13">
        <v>2019</v>
      </c>
      <c r="G142" s="42">
        <v>141</v>
      </c>
      <c r="H142" t="s">
        <v>373</v>
      </c>
      <c r="I142" s="43">
        <v>69.5</v>
      </c>
      <c r="J142">
        <v>2020</v>
      </c>
      <c r="K142">
        <f>IFERROR(VLOOKUP("*"&amp;Table38[[#This Row],[Country]]&amp;"*",Table6[],3,FALSE),0)</f>
        <v>3553</v>
      </c>
      <c r="L142">
        <f>CORREL(Table38[Life expectancy at birth],Table38[GDP - per capita (PPP)])</f>
        <v>0.66243787801142506</v>
      </c>
      <c r="M142">
        <f>(Table38[[#This Row],[Life expectancy at birth]]-$I$199)/$I$201</f>
        <v>0.51265822784810122</v>
      </c>
      <c r="N142" s="28">
        <f>(Table38[[#This Row],[GDP - per capita (PPP)]]-$K$199)/$K$201</f>
        <v>3.6500549614242712E-2</v>
      </c>
    </row>
    <row r="143" spans="1:14" x14ac:dyDescent="0.25">
      <c r="A143" s="11" t="s">
        <v>9</v>
      </c>
      <c r="B143" s="26">
        <v>6</v>
      </c>
      <c r="C143" s="12">
        <v>90044</v>
      </c>
      <c r="D143" s="11">
        <v>2019</v>
      </c>
      <c r="G143" s="42">
        <v>142</v>
      </c>
      <c r="H143" t="s">
        <v>374</v>
      </c>
      <c r="I143" s="43">
        <v>69</v>
      </c>
      <c r="J143">
        <v>2020</v>
      </c>
      <c r="K143">
        <f>IFERROR(VLOOKUP("*"&amp;Table38[[#This Row],[Country]]&amp;"*",Table6[],3,FALSE),0)</f>
        <v>2227</v>
      </c>
      <c r="L143">
        <f>CORREL(Table38[Life expectancy at birth],Table38[GDP - per capita (PPP)])</f>
        <v>0.66243787801142506</v>
      </c>
      <c r="M143">
        <f>(Table38[[#This Row],[Life expectancy at birth]]-$I$199)/$I$201</f>
        <v>0.49683544303797467</v>
      </c>
      <c r="N143" s="28">
        <f>(Table38[[#This Row],[GDP - per capita (PPP)]]-$K$199)/$K$201</f>
        <v>2.2878334925673663E-2</v>
      </c>
    </row>
    <row r="144" spans="1:14" x14ac:dyDescent="0.25">
      <c r="A144" s="13" t="s">
        <v>72</v>
      </c>
      <c r="B144" s="27">
        <v>69</v>
      </c>
      <c r="C144" s="10">
        <v>29941</v>
      </c>
      <c r="D144" s="13">
        <v>2019</v>
      </c>
      <c r="G144" s="42">
        <v>143</v>
      </c>
      <c r="H144" t="s">
        <v>375</v>
      </c>
      <c r="I144" s="43">
        <v>68.400000000000006</v>
      </c>
      <c r="J144">
        <v>2020</v>
      </c>
      <c r="K144">
        <f>IFERROR(VLOOKUP("*"&amp;Table38[[#This Row],[Country]]&amp;"*",Table6[],3,FALSE),0)</f>
        <v>2272</v>
      </c>
      <c r="L144">
        <f>CORREL(Table38[Life expectancy at birth],Table38[GDP - per capita (PPP)])</f>
        <v>0.66243787801142506</v>
      </c>
      <c r="M144">
        <f>(Table38[[#This Row],[Life expectancy at birth]]-$I$199)/$I$201</f>
        <v>0.47784810126582294</v>
      </c>
      <c r="N144" s="28">
        <f>(Table38[[#This Row],[GDP - per capita (PPP)]]-$K$199)/$K$201</f>
        <v>2.3340627279358133E-2</v>
      </c>
    </row>
    <row r="145" spans="1:14" x14ac:dyDescent="0.25">
      <c r="A145" s="13" t="s">
        <v>80</v>
      </c>
      <c r="B145" s="27">
        <v>77</v>
      </c>
      <c r="C145" s="10">
        <v>27044</v>
      </c>
      <c r="D145" s="13">
        <v>2019</v>
      </c>
      <c r="G145" s="42">
        <v>144</v>
      </c>
      <c r="H145" t="s">
        <v>376</v>
      </c>
      <c r="I145" s="43">
        <v>68.2</v>
      </c>
      <c r="J145">
        <v>2020</v>
      </c>
      <c r="K145">
        <f>IFERROR(VLOOKUP("*"&amp;Table38[[#This Row],[Country]]&amp;"*",Table6[],3,FALSE),0)</f>
        <v>0</v>
      </c>
      <c r="L145">
        <f>CORREL(Table38[Life expectancy at birth],Table38[GDP - per capita (PPP)])</f>
        <v>0.66243787801142506</v>
      </c>
      <c r="M145">
        <f>(Table38[[#This Row],[Life expectancy at birth]]-$I$199)/$I$201</f>
        <v>0.47151898734177222</v>
      </c>
      <c r="N145" s="28">
        <f>(Table38[[#This Row],[GDP - per capita (PPP)]]-$K$199)/$K$201</f>
        <v>0</v>
      </c>
    </row>
    <row r="146" spans="1:14" x14ac:dyDescent="0.25">
      <c r="A146" s="11" t="s">
        <v>210</v>
      </c>
      <c r="B146" s="26">
        <v>207</v>
      </c>
      <c r="C146" s="12">
        <v>2227</v>
      </c>
      <c r="D146" s="11">
        <v>2019</v>
      </c>
      <c r="G146" s="42">
        <v>145</v>
      </c>
      <c r="H146" t="s">
        <v>377</v>
      </c>
      <c r="I146" s="43">
        <v>67.900000000000006</v>
      </c>
      <c r="J146">
        <v>2020</v>
      </c>
      <c r="K146">
        <f>IFERROR(VLOOKUP("*"&amp;Table38[[#This Row],[Country]]&amp;"*",Table6[],3,FALSE),0)</f>
        <v>0</v>
      </c>
      <c r="L146">
        <f>CORREL(Table38[Life expectancy at birth],Table38[GDP - per capita (PPP)])</f>
        <v>0.66243787801142506</v>
      </c>
      <c r="M146">
        <f>(Table38[[#This Row],[Life expectancy at birth]]-$I$199)/$I$201</f>
        <v>0.46202531645569633</v>
      </c>
      <c r="N146" s="28">
        <f>(Table38[[#This Row],[GDP - per capita (PPP)]]-$K$199)/$K$201</f>
        <v>0</v>
      </c>
    </row>
    <row r="147" spans="1:14" x14ac:dyDescent="0.25">
      <c r="A147" s="11" t="s">
        <v>81</v>
      </c>
      <c r="B147" s="26">
        <v>78</v>
      </c>
      <c r="C147" s="12">
        <v>26438</v>
      </c>
      <c r="D147" s="11">
        <v>2019</v>
      </c>
      <c r="G147" s="42">
        <v>146</v>
      </c>
      <c r="H147" t="s">
        <v>378</v>
      </c>
      <c r="I147" s="43">
        <v>67.900000000000006</v>
      </c>
      <c r="J147">
        <v>2020</v>
      </c>
      <c r="K147">
        <f>IFERROR(VLOOKUP("*"&amp;Table38[[#This Row],[Country]]&amp;"*",Table6[],3,FALSE),0)</f>
        <v>7826</v>
      </c>
      <c r="L147">
        <f>CORREL(Table38[Life expectancy at birth],Table38[GDP - per capita (PPP)])</f>
        <v>0.66243787801142506</v>
      </c>
      <c r="M147">
        <f>(Table38[[#This Row],[Life expectancy at birth]]-$I$199)/$I$201</f>
        <v>0.46202531645569633</v>
      </c>
      <c r="N147" s="28">
        <f>(Table38[[#This Row],[GDP - per capita (PPP)]]-$K$199)/$K$201</f>
        <v>8.0397776887436948E-2</v>
      </c>
    </row>
    <row r="148" spans="1:14" x14ac:dyDescent="0.25">
      <c r="A148" s="11" t="s">
        <v>112</v>
      </c>
      <c r="B148" s="26">
        <v>109</v>
      </c>
      <c r="C148" s="12">
        <v>15449</v>
      </c>
      <c r="D148" s="11">
        <v>2019</v>
      </c>
      <c r="G148" s="42">
        <v>147</v>
      </c>
      <c r="H148" t="s">
        <v>379</v>
      </c>
      <c r="I148" s="43">
        <v>67.900000000000006</v>
      </c>
      <c r="J148">
        <v>2020</v>
      </c>
      <c r="K148">
        <f>IFERROR(VLOOKUP("*"&amp;Table38[[#This Row],[Country]]&amp;"*",Table6[],3,FALSE),0)</f>
        <v>3395</v>
      </c>
      <c r="L148">
        <f>CORREL(Table38[Life expectancy at birth],Table38[GDP - per capita (PPP)])</f>
        <v>0.66243787801142506</v>
      </c>
      <c r="M148">
        <f>(Table38[[#This Row],[Life expectancy at birth]]-$I$199)/$I$201</f>
        <v>0.46202531645569633</v>
      </c>
      <c r="N148" s="28">
        <f>(Table38[[#This Row],[GDP - per capita (PPP)]]-$K$199)/$K$201</f>
        <v>3.487738979463946E-2</v>
      </c>
    </row>
    <row r="149" spans="1:14" x14ac:dyDescent="0.25">
      <c r="A149" s="11" t="s">
        <v>131</v>
      </c>
      <c r="B149" s="26">
        <v>128</v>
      </c>
      <c r="C149" s="12">
        <v>12485</v>
      </c>
      <c r="D149" s="11">
        <v>2019</v>
      </c>
      <c r="G149" s="42">
        <v>148</v>
      </c>
      <c r="H149" t="s">
        <v>380</v>
      </c>
      <c r="I149" s="43">
        <v>67.400000000000006</v>
      </c>
      <c r="J149">
        <v>2020</v>
      </c>
      <c r="K149">
        <f>IFERROR(VLOOKUP("*"&amp;Table38[[#This Row],[Country]]&amp;"*",Table6[],3,FALSE),0)</f>
        <v>13684</v>
      </c>
      <c r="L149">
        <f>CORREL(Table38[Life expectancy at birth],Table38[GDP - per capita (PPP)])</f>
        <v>0.66243787801142506</v>
      </c>
      <c r="M149">
        <f>(Table38[[#This Row],[Life expectancy at birth]]-$I$199)/$I$201</f>
        <v>0.44620253164556978</v>
      </c>
      <c r="N149" s="28">
        <f>(Table38[[#This Row],[GDP - per capita (PPP)]]-$K$199)/$K$201</f>
        <v>0.14057796817373974</v>
      </c>
    </row>
    <row r="150" spans="1:14" x14ac:dyDescent="0.25">
      <c r="A150" s="11" t="s">
        <v>165</v>
      </c>
      <c r="B150" s="26">
        <v>162</v>
      </c>
      <c r="C150" s="12">
        <v>6521</v>
      </c>
      <c r="D150" s="11">
        <v>2019</v>
      </c>
      <c r="G150" s="42">
        <v>149</v>
      </c>
      <c r="H150" t="s">
        <v>381</v>
      </c>
      <c r="I150" s="43">
        <v>67.3</v>
      </c>
      <c r="J150">
        <v>2020</v>
      </c>
      <c r="K150">
        <f>IFERROR(VLOOKUP("*"&amp;Table38[[#This Row],[Country]]&amp;"*",Table6[],3,FALSE),0)</f>
        <v>4690</v>
      </c>
      <c r="L150">
        <f>CORREL(Table38[Life expectancy at birth],Table38[GDP - per capita (PPP)])</f>
        <v>0.66243787801142506</v>
      </c>
      <c r="M150">
        <f>(Table38[[#This Row],[Life expectancy at birth]]-$I$199)/$I$201</f>
        <v>0.44303797468354417</v>
      </c>
      <c r="N150" s="28">
        <f>(Table38[[#This Row],[GDP - per capita (PPP)]]-$K$199)/$K$201</f>
        <v>4.8181136417336991E-2</v>
      </c>
    </row>
    <row r="151" spans="1:14" x14ac:dyDescent="0.25">
      <c r="A151" s="11" t="s">
        <v>185</v>
      </c>
      <c r="B151" s="26">
        <v>182</v>
      </c>
      <c r="C151" s="12">
        <v>3970</v>
      </c>
      <c r="D151" s="11">
        <v>2019</v>
      </c>
      <c r="G151" s="42">
        <v>150</v>
      </c>
      <c r="H151" t="s">
        <v>382</v>
      </c>
      <c r="I151" s="43">
        <v>67.099999999999994</v>
      </c>
      <c r="J151">
        <v>2020</v>
      </c>
      <c r="K151">
        <f>IFERROR(VLOOKUP("*"&amp;Table38[[#This Row],[Country]]&amp;"*",Table6[],3,FALSE),0)</f>
        <v>5142</v>
      </c>
      <c r="L151">
        <f>CORREL(Table38[Life expectancy at birth],Table38[GDP - per capita (PPP)])</f>
        <v>0.66243787801142506</v>
      </c>
      <c r="M151">
        <f>(Table38[[#This Row],[Life expectancy at birth]]-$I$199)/$I$201</f>
        <v>0.43670886075949344</v>
      </c>
      <c r="N151" s="28">
        <f>(Table38[[#This Row],[GDP - per capita (PPP)]]-$K$199)/$K$201</f>
        <v>5.2824606281012113E-2</v>
      </c>
    </row>
    <row r="152" spans="1:14" x14ac:dyDescent="0.25">
      <c r="A152" s="11" t="s">
        <v>38</v>
      </c>
      <c r="B152" s="26">
        <v>35</v>
      </c>
      <c r="C152" s="12">
        <v>46962</v>
      </c>
      <c r="D152" s="11">
        <v>2019</v>
      </c>
      <c r="G152" s="42">
        <v>151</v>
      </c>
      <c r="H152" t="s">
        <v>383</v>
      </c>
      <c r="I152" s="43">
        <v>67.099999999999994</v>
      </c>
      <c r="J152">
        <v>2020</v>
      </c>
      <c r="K152">
        <f>IFERROR(VLOOKUP("*"&amp;Table38[[#This Row],[Country]]&amp;"*",Table6[],3,FALSE),0)</f>
        <v>5535</v>
      </c>
      <c r="L152">
        <f>CORREL(Table38[Life expectancy at birth],Table38[GDP - per capita (PPP)])</f>
        <v>0.66243787801142506</v>
      </c>
      <c r="M152">
        <f>(Table38[[#This Row],[Life expectancy at birth]]-$I$199)/$I$201</f>
        <v>0.43670886075949344</v>
      </c>
      <c r="N152" s="28">
        <f>(Table38[[#This Row],[GDP - per capita (PPP)]]-$K$199)/$K$201</f>
        <v>5.686195950318982E-2</v>
      </c>
    </row>
    <row r="153" spans="1:14" x14ac:dyDescent="0.25">
      <c r="A153" s="13" t="s">
        <v>195</v>
      </c>
      <c r="B153" s="27">
        <v>192</v>
      </c>
      <c r="C153" s="10">
        <v>3395</v>
      </c>
      <c r="D153" s="13">
        <v>2019</v>
      </c>
      <c r="G153" s="42">
        <v>152</v>
      </c>
      <c r="H153" t="s">
        <v>384</v>
      </c>
      <c r="I153" s="43">
        <v>67</v>
      </c>
      <c r="J153">
        <v>2020</v>
      </c>
      <c r="K153">
        <f>IFERROR(VLOOKUP("*"&amp;Table38[[#This Row],[Country]]&amp;"*",Table6[],3,FALSE),0)</f>
        <v>1647</v>
      </c>
      <c r="L153">
        <f>CORREL(Table38[Life expectancy at birth],Table38[GDP - per capita (PPP)])</f>
        <v>0.66243787801142506</v>
      </c>
      <c r="M153">
        <f>(Table38[[#This Row],[Life expectancy at birth]]-$I$199)/$I$201</f>
        <v>0.43354430379746833</v>
      </c>
      <c r="N153" s="28">
        <f>(Table38[[#This Row],[GDP - per capita (PPP)]]-$K$199)/$K$201</f>
        <v>1.6919900144851605E-2</v>
      </c>
    </row>
    <row r="154" spans="1:14" x14ac:dyDescent="0.25">
      <c r="A154" s="11" t="s">
        <v>101</v>
      </c>
      <c r="B154" s="26">
        <v>98</v>
      </c>
      <c r="C154" s="12">
        <v>18233</v>
      </c>
      <c r="D154" s="11">
        <v>2019</v>
      </c>
      <c r="G154" s="42">
        <v>153</v>
      </c>
      <c r="H154" t="s">
        <v>385</v>
      </c>
      <c r="I154" s="43">
        <v>66.7</v>
      </c>
      <c r="J154">
        <v>2020</v>
      </c>
      <c r="K154">
        <f>IFERROR(VLOOKUP("*"&amp;Table38[[#This Row],[Country]]&amp;"*",Table6[],3,FALSE),0)</f>
        <v>4330</v>
      </c>
      <c r="L154">
        <f>CORREL(Table38[Life expectancy at birth],Table38[GDP - per capita (PPP)])</f>
        <v>0.66243787801142506</v>
      </c>
      <c r="M154">
        <f>(Table38[[#This Row],[Life expectancy at birth]]-$I$199)/$I$201</f>
        <v>0.42405063291139244</v>
      </c>
      <c r="N154" s="28">
        <f>(Table38[[#This Row],[GDP - per capita (PPP)]]-$K$199)/$K$201</f>
        <v>4.4482797587861229E-2</v>
      </c>
    </row>
    <row r="155" spans="1:14" x14ac:dyDescent="0.25">
      <c r="A155" s="11" t="s">
        <v>75</v>
      </c>
      <c r="B155" s="26">
        <v>72</v>
      </c>
      <c r="C155" s="12">
        <v>29223</v>
      </c>
      <c r="D155" s="11">
        <v>2019</v>
      </c>
      <c r="G155" s="42">
        <v>154</v>
      </c>
      <c r="H155" t="s">
        <v>386</v>
      </c>
      <c r="I155" s="43">
        <v>66.599999999999994</v>
      </c>
      <c r="J155">
        <v>2020</v>
      </c>
      <c r="K155">
        <f>IFERROR(VLOOKUP("*"&amp;Table38[[#This Row],[Country]]&amp;"*",Table6[],3,FALSE),0)</f>
        <v>2221</v>
      </c>
      <c r="L155">
        <f>CORREL(Table38[Life expectancy at birth],Table38[GDP - per capita (PPP)])</f>
        <v>0.66243787801142506</v>
      </c>
      <c r="M155">
        <f>(Table38[[#This Row],[Life expectancy at birth]]-$I$199)/$I$201</f>
        <v>0.42088607594936689</v>
      </c>
      <c r="N155" s="28">
        <f>(Table38[[#This Row],[GDP - per capita (PPP)]]-$K$199)/$K$201</f>
        <v>2.2816695945182399E-2</v>
      </c>
    </row>
    <row r="156" spans="1:14" x14ac:dyDescent="0.25">
      <c r="A156" s="13" t="s">
        <v>217</v>
      </c>
      <c r="B156" s="27">
        <v>214</v>
      </c>
      <c r="C156" s="10">
        <v>1718</v>
      </c>
      <c r="D156" s="13">
        <v>2019</v>
      </c>
      <c r="G156" s="42">
        <v>155</v>
      </c>
      <c r="H156" t="s">
        <v>387</v>
      </c>
      <c r="I156" s="43">
        <v>66.5</v>
      </c>
      <c r="J156">
        <v>2020</v>
      </c>
      <c r="K156">
        <f>IFERROR(VLOOKUP("*"&amp;Table38[[#This Row],[Country]]&amp;"*",Table6[],3,FALSE),0)</f>
        <v>14950</v>
      </c>
      <c r="L156">
        <f>CORREL(Table38[Life expectancy at birth],Table38[GDP - per capita (PPP)])</f>
        <v>0.66243787801142506</v>
      </c>
      <c r="M156">
        <f>(Table38[[#This Row],[Life expectancy at birth]]-$I$199)/$I$201</f>
        <v>0.41772151898734172</v>
      </c>
      <c r="N156" s="28">
        <f>(Table38[[#This Row],[GDP - per capita (PPP)]]-$K$199)/$K$201</f>
        <v>0.15358379305739617</v>
      </c>
    </row>
    <row r="157" spans="1:14" x14ac:dyDescent="0.25">
      <c r="A157" s="13" t="s">
        <v>8</v>
      </c>
      <c r="B157" s="27">
        <v>5</v>
      </c>
      <c r="C157" s="10">
        <v>97341</v>
      </c>
      <c r="D157" s="13">
        <v>2019</v>
      </c>
      <c r="G157" s="42">
        <v>156</v>
      </c>
      <c r="H157" t="s">
        <v>388</v>
      </c>
      <c r="I157" s="43">
        <v>66.3</v>
      </c>
      <c r="J157">
        <v>2020</v>
      </c>
      <c r="K157">
        <f>IFERROR(VLOOKUP("*"&amp;Table38[[#This Row],[Country]]&amp;"*",Table6[],3,FALSE),0)</f>
        <v>1600</v>
      </c>
      <c r="L157">
        <f>CORREL(Table38[Life expectancy at birth],Table38[GDP - per capita (PPP)])</f>
        <v>0.66243787801142506</v>
      </c>
      <c r="M157">
        <f>(Table38[[#This Row],[Life expectancy at birth]]-$I$199)/$I$201</f>
        <v>0.41139240506329106</v>
      </c>
      <c r="N157" s="28">
        <f>(Table38[[#This Row],[GDP - per capita (PPP)]]-$K$199)/$K$201</f>
        <v>1.6437061464336714E-2</v>
      </c>
    </row>
    <row r="158" spans="1:14" x14ac:dyDescent="0.25">
      <c r="A158" s="11" t="s">
        <v>68</v>
      </c>
      <c r="B158" s="26">
        <v>65</v>
      </c>
      <c r="C158" s="12">
        <v>32730</v>
      </c>
      <c r="D158" s="11">
        <v>2019</v>
      </c>
      <c r="G158" s="42">
        <v>157</v>
      </c>
      <c r="H158" t="s">
        <v>389</v>
      </c>
      <c r="I158" s="43">
        <v>66.099999999999994</v>
      </c>
      <c r="J158">
        <v>2020</v>
      </c>
      <c r="K158">
        <f>IFERROR(VLOOKUP("*"&amp;Table38[[#This Row],[Country]]&amp;"*",Table6[],3,FALSE),0)</f>
        <v>0</v>
      </c>
      <c r="L158">
        <f>CORREL(Table38[Life expectancy at birth],Table38[GDP - per capita (PPP)])</f>
        <v>0.66243787801142506</v>
      </c>
      <c r="M158">
        <f>(Table38[[#This Row],[Life expectancy at birth]]-$I$199)/$I$201</f>
        <v>0.40506329113924033</v>
      </c>
      <c r="N158" s="28">
        <f>(Table38[[#This Row],[GDP - per capita (PPP)]]-$K$199)/$K$201</f>
        <v>0</v>
      </c>
    </row>
    <row r="159" spans="1:14" x14ac:dyDescent="0.25">
      <c r="A159" s="11" t="s">
        <v>55</v>
      </c>
      <c r="B159" s="26">
        <v>52</v>
      </c>
      <c r="C159" s="12">
        <v>39088</v>
      </c>
      <c r="D159" s="11">
        <v>2019</v>
      </c>
      <c r="G159" s="42">
        <v>158</v>
      </c>
      <c r="H159" t="s">
        <v>390</v>
      </c>
      <c r="I159" s="43">
        <v>65.5</v>
      </c>
      <c r="J159">
        <v>2020</v>
      </c>
      <c r="K159">
        <f>IFERROR(VLOOKUP("*"&amp;Table38[[#This Row],[Country]]&amp;"*",Table6[],3,FALSE),0)</f>
        <v>2660</v>
      </c>
      <c r="L159">
        <f>CORREL(Table38[Life expectancy at birth],Table38[GDP - per capita (PPP)])</f>
        <v>0.66243787801142506</v>
      </c>
      <c r="M159">
        <f>(Table38[[#This Row],[Life expectancy at birth]]-$I$199)/$I$201</f>
        <v>0.38607594936708861</v>
      </c>
      <c r="N159" s="28">
        <f>(Table38[[#This Row],[GDP - per capita (PPP)]]-$K$199)/$K$201</f>
        <v>2.7326614684459787E-2</v>
      </c>
    </row>
    <row r="160" spans="1:14" x14ac:dyDescent="0.25">
      <c r="A160" s="13" t="s">
        <v>204</v>
      </c>
      <c r="B160" s="27">
        <v>201</v>
      </c>
      <c r="C160" s="10">
        <v>2663</v>
      </c>
      <c r="D160" s="13">
        <v>2019</v>
      </c>
      <c r="G160" s="42">
        <v>159</v>
      </c>
      <c r="H160" t="s">
        <v>391</v>
      </c>
      <c r="I160" s="43">
        <v>65.3</v>
      </c>
      <c r="J160">
        <v>2020</v>
      </c>
      <c r="K160">
        <f>IFERROR(VLOOKUP("*"&amp;Table38[[#This Row],[Country]]&amp;"*",Table6[],3,FALSE),0)</f>
        <v>3958</v>
      </c>
      <c r="L160">
        <f>CORREL(Table38[Life expectancy at birth],Table38[GDP - per capita (PPP)])</f>
        <v>0.66243787801142506</v>
      </c>
      <c r="M160">
        <f>(Table38[[#This Row],[Life expectancy at birth]]-$I$199)/$I$201</f>
        <v>0.37974683544303789</v>
      </c>
      <c r="N160" s="28">
        <f>(Table38[[#This Row],[GDP - per capita (PPP)]]-$K$199)/$K$201</f>
        <v>4.0661180797402947E-2</v>
      </c>
    </row>
    <row r="161" spans="1:14" x14ac:dyDescent="0.25">
      <c r="A161" s="13" t="s">
        <v>132</v>
      </c>
      <c r="B161" s="27">
        <v>129</v>
      </c>
      <c r="C161" s="10">
        <v>12482</v>
      </c>
      <c r="D161" s="13">
        <v>2019</v>
      </c>
      <c r="G161" s="42">
        <v>160</v>
      </c>
      <c r="H161" t="s">
        <v>392</v>
      </c>
      <c r="I161" s="43">
        <v>64.900000000000006</v>
      </c>
      <c r="J161">
        <v>2020</v>
      </c>
      <c r="K161">
        <f>IFERROR(VLOOKUP("*"&amp;Table38[[#This Row],[Country]]&amp;"*",Table6[],3,FALSE),0)</f>
        <v>5197</v>
      </c>
      <c r="L161">
        <f>CORREL(Table38[Life expectancy at birth],Table38[GDP - per capita (PPP)])</f>
        <v>0.66243787801142506</v>
      </c>
      <c r="M161">
        <f>(Table38[[#This Row],[Life expectancy at birth]]-$I$199)/$I$201</f>
        <v>0.36708860759493689</v>
      </c>
      <c r="N161" s="28">
        <f>(Table38[[#This Row],[GDP - per capita (PPP)]]-$K$199)/$K$201</f>
        <v>5.3389630268848687E-2</v>
      </c>
    </row>
    <row r="162" spans="1:14" x14ac:dyDescent="0.25">
      <c r="A162" s="13" t="s">
        <v>46</v>
      </c>
      <c r="B162" s="27">
        <v>43</v>
      </c>
      <c r="C162" s="10">
        <v>42765</v>
      </c>
      <c r="D162" s="13">
        <v>2019</v>
      </c>
      <c r="G162" s="42">
        <v>161</v>
      </c>
      <c r="H162" t="s">
        <v>393</v>
      </c>
      <c r="I162" s="43">
        <v>64.8</v>
      </c>
      <c r="J162">
        <v>2020</v>
      </c>
      <c r="K162">
        <f>IFERROR(VLOOKUP("*"&amp;Table38[[#This Row],[Country]]&amp;"*",Table6[],3,FALSE),0)</f>
        <v>2065</v>
      </c>
      <c r="L162">
        <f>CORREL(Table38[Life expectancy at birth],Table38[GDP - per capita (PPP)])</f>
        <v>0.66243787801142506</v>
      </c>
      <c r="M162">
        <f>(Table38[[#This Row],[Life expectancy at birth]]-$I$199)/$I$201</f>
        <v>0.36392405063291128</v>
      </c>
      <c r="N162" s="28">
        <f>(Table38[[#This Row],[GDP - per capita (PPP)]]-$K$199)/$K$201</f>
        <v>2.121408245240957E-2</v>
      </c>
    </row>
    <row r="163" spans="1:14" x14ac:dyDescent="0.25">
      <c r="A163" s="11" t="s">
        <v>50</v>
      </c>
      <c r="B163" s="26">
        <v>47</v>
      </c>
      <c r="C163" s="12">
        <v>40903</v>
      </c>
      <c r="D163" s="11">
        <v>2019</v>
      </c>
      <c r="G163" s="42">
        <v>162</v>
      </c>
      <c r="H163" t="s">
        <v>394</v>
      </c>
      <c r="I163" s="43">
        <v>64.599999999999994</v>
      </c>
      <c r="J163">
        <v>2020</v>
      </c>
      <c r="K163">
        <f>IFERROR(VLOOKUP("*"&amp;Table38[[#This Row],[Country]]&amp;"*",Table6[],3,FALSE),0)</f>
        <v>3673</v>
      </c>
      <c r="L163">
        <f>CORREL(Table38[Life expectancy at birth],Table38[GDP - per capita (PPP)])</f>
        <v>0.66243787801142506</v>
      </c>
      <c r="M163">
        <f>(Table38[[#This Row],[Life expectancy at birth]]-$I$199)/$I$201</f>
        <v>0.35759493670886056</v>
      </c>
      <c r="N163" s="28">
        <f>(Table38[[#This Row],[GDP - per capita (PPP)]]-$K$199)/$K$201</f>
        <v>3.7733329224067969E-2</v>
      </c>
    </row>
    <row r="164" spans="1:14" x14ac:dyDescent="0.25">
      <c r="A164" s="13" t="s">
        <v>126</v>
      </c>
      <c r="B164" s="27">
        <v>123</v>
      </c>
      <c r="C164" s="10">
        <v>13078</v>
      </c>
      <c r="D164" s="13">
        <v>2019</v>
      </c>
      <c r="G164" s="42">
        <v>163</v>
      </c>
      <c r="H164" t="s">
        <v>395</v>
      </c>
      <c r="I164" s="43">
        <v>64.5</v>
      </c>
      <c r="J164">
        <v>2020</v>
      </c>
      <c r="K164">
        <f>IFERROR(VLOOKUP("*"&amp;Table38[[#This Row],[Country]]&amp;"*",Table6[],3,FALSE),0)</f>
        <v>4355</v>
      </c>
      <c r="L164">
        <f>CORREL(Table38[Life expectancy at birth],Table38[GDP - per capita (PPP)])</f>
        <v>0.66243787801142506</v>
      </c>
      <c r="M164">
        <f>(Table38[[#This Row],[Life expectancy at birth]]-$I$199)/$I$201</f>
        <v>0.35443037974683544</v>
      </c>
      <c r="N164" s="28">
        <f>(Table38[[#This Row],[GDP - per capita (PPP)]]-$K$199)/$K$201</f>
        <v>4.4739626673241488E-2</v>
      </c>
    </row>
    <row r="165" spans="1:14" x14ac:dyDescent="0.25">
      <c r="A165" s="13" t="s">
        <v>186</v>
      </c>
      <c r="B165" s="27">
        <v>183</v>
      </c>
      <c r="C165" s="10">
        <v>3958</v>
      </c>
      <c r="D165" s="13">
        <v>2019</v>
      </c>
      <c r="G165" s="42">
        <v>164</v>
      </c>
      <c r="H165" t="s">
        <v>396</v>
      </c>
      <c r="I165" s="43">
        <v>64.3</v>
      </c>
      <c r="J165">
        <v>2020</v>
      </c>
      <c r="K165">
        <f>IFERROR(VLOOKUP("*"&amp;Table38[[#This Row],[Country]]&amp;"*",Table6[],3,FALSE),0)</f>
        <v>3060</v>
      </c>
      <c r="L165">
        <f>CORREL(Table38[Life expectancy at birth],Table38[GDP - per capita (PPP)])</f>
        <v>0.66243787801142506</v>
      </c>
      <c r="M165">
        <f>(Table38[[#This Row],[Life expectancy at birth]]-$I$199)/$I$201</f>
        <v>0.34810126582278472</v>
      </c>
      <c r="N165" s="28">
        <f>(Table38[[#This Row],[GDP - per capita (PPP)]]-$K$199)/$K$201</f>
        <v>3.1435880050543964E-2</v>
      </c>
    </row>
    <row r="166" spans="1:14" x14ac:dyDescent="0.25">
      <c r="A166" s="11" t="s">
        <v>108</v>
      </c>
      <c r="B166" s="26">
        <v>105</v>
      </c>
      <c r="C166" s="12">
        <v>16525</v>
      </c>
      <c r="D166" s="11">
        <v>2019</v>
      </c>
      <c r="G166" s="42">
        <v>165</v>
      </c>
      <c r="H166" t="s">
        <v>397</v>
      </c>
      <c r="I166" s="43">
        <v>64.3</v>
      </c>
      <c r="J166">
        <v>2020</v>
      </c>
      <c r="K166">
        <f>IFERROR(VLOOKUP("*"&amp;Table38[[#This Row],[Country]]&amp;"*",Table6[],3,FALSE),0)</f>
        <v>1060</v>
      </c>
      <c r="L166">
        <f>CORREL(Table38[Life expectancy at birth],Table38[GDP - per capita (PPP)])</f>
        <v>0.66243787801142506</v>
      </c>
      <c r="M166">
        <f>(Table38[[#This Row],[Life expectancy at birth]]-$I$199)/$I$201</f>
        <v>0.34810126582278472</v>
      </c>
      <c r="N166" s="28">
        <f>(Table38[[#This Row],[GDP - per capita (PPP)]]-$K$199)/$K$201</f>
        <v>1.0889553220123072E-2</v>
      </c>
    </row>
    <row r="167" spans="1:14" x14ac:dyDescent="0.25">
      <c r="A167" s="11" t="s">
        <v>29</v>
      </c>
      <c r="B167" s="26">
        <v>26</v>
      </c>
      <c r="C167" s="12">
        <v>53240</v>
      </c>
      <c r="D167" s="11">
        <v>2019</v>
      </c>
      <c r="G167" s="42">
        <v>166</v>
      </c>
      <c r="H167" t="s">
        <v>398</v>
      </c>
      <c r="I167" s="43">
        <v>64.099999999999994</v>
      </c>
      <c r="J167">
        <v>2020</v>
      </c>
      <c r="K167">
        <f>IFERROR(VLOOKUP("*"&amp;Table38[[#This Row],[Country]]&amp;"*",Table6[],3,FALSE),0)</f>
        <v>12482</v>
      </c>
      <c r="L167">
        <f>CORREL(Table38[Life expectancy at birth],Table38[GDP - per capita (PPP)])</f>
        <v>0.66243787801142506</v>
      </c>
      <c r="M167">
        <f>(Table38[[#This Row],[Life expectancy at birth]]-$I$199)/$I$201</f>
        <v>0.341772151898734</v>
      </c>
      <c r="N167" s="28">
        <f>(Table38[[#This Row],[GDP - per capita (PPP)]]-$K$199)/$K$201</f>
        <v>0.12822962574865679</v>
      </c>
    </row>
    <row r="168" spans="1:14" x14ac:dyDescent="0.25">
      <c r="A168" s="13" t="s">
        <v>15</v>
      </c>
      <c r="B168" s="27">
        <v>12</v>
      </c>
      <c r="C168" s="10">
        <v>68628</v>
      </c>
      <c r="D168" s="13">
        <v>2019</v>
      </c>
      <c r="G168" s="42">
        <v>167</v>
      </c>
      <c r="H168" t="s">
        <v>399</v>
      </c>
      <c r="I168" s="43">
        <v>64.099999999999994</v>
      </c>
      <c r="J168">
        <v>2020</v>
      </c>
      <c r="K168">
        <f>IFERROR(VLOOKUP("*"&amp;Table38[[#This Row],[Country]]&amp;"*",Table6[],3,FALSE),0)</f>
        <v>5413</v>
      </c>
      <c r="L168">
        <f>CORREL(Table38[Life expectancy at birth],Table38[GDP - per capita (PPP)])</f>
        <v>0.66243787801142506</v>
      </c>
      <c r="M168">
        <f>(Table38[[#This Row],[Life expectancy at birth]]-$I$199)/$I$201</f>
        <v>0.341772151898734</v>
      </c>
      <c r="N168" s="28">
        <f>(Table38[[#This Row],[GDP - per capita (PPP)]]-$K$199)/$K$201</f>
        <v>5.5608633566534144E-2</v>
      </c>
    </row>
    <row r="169" spans="1:14" x14ac:dyDescent="0.25">
      <c r="A169" s="11" t="s">
        <v>196</v>
      </c>
      <c r="B169" s="26">
        <v>193</v>
      </c>
      <c r="C169" s="12">
        <v>3380</v>
      </c>
      <c r="D169" s="11">
        <v>2019</v>
      </c>
      <c r="G169" s="42">
        <v>168</v>
      </c>
      <c r="H169" t="s">
        <v>400</v>
      </c>
      <c r="I169" s="43">
        <v>64.099999999999994</v>
      </c>
      <c r="J169">
        <v>2020</v>
      </c>
      <c r="K169">
        <f>IFERROR(VLOOKUP("*"&amp;Table38[[#This Row],[Country]]&amp;"*",Table6[],3,FALSE),0)</f>
        <v>1428</v>
      </c>
      <c r="L169">
        <f>CORREL(Table38[Life expectancy at birth],Table38[GDP - per capita (PPP)])</f>
        <v>0.66243787801142506</v>
      </c>
      <c r="M169">
        <f>(Table38[[#This Row],[Life expectancy at birth]]-$I$199)/$I$201</f>
        <v>0.341772151898734</v>
      </c>
      <c r="N169" s="28">
        <f>(Table38[[#This Row],[GDP - per capita (PPP)]]-$K$199)/$K$201</f>
        <v>1.4670077356920516E-2</v>
      </c>
    </row>
    <row r="170" spans="1:14" x14ac:dyDescent="0.25">
      <c r="A170" s="11" t="s">
        <v>205</v>
      </c>
      <c r="B170" s="26">
        <v>202</v>
      </c>
      <c r="C170" s="12">
        <v>2660</v>
      </c>
      <c r="D170" s="11">
        <v>2019</v>
      </c>
      <c r="G170" s="42">
        <v>169</v>
      </c>
      <c r="H170" t="s">
        <v>401</v>
      </c>
      <c r="I170" s="43">
        <v>64</v>
      </c>
      <c r="J170">
        <v>2020</v>
      </c>
      <c r="K170">
        <f>IFERROR(VLOOKUP("*"&amp;Table38[[#This Row],[Country]]&amp;"*",Table6[],3,FALSE),0)</f>
        <v>2905</v>
      </c>
      <c r="L170">
        <f>CORREL(Table38[Life expectancy at birth],Table38[GDP - per capita (PPP)])</f>
        <v>0.66243787801142506</v>
      </c>
      <c r="M170">
        <f>(Table38[[#This Row],[Life expectancy at birth]]-$I$199)/$I$201</f>
        <v>0.33860759493670883</v>
      </c>
      <c r="N170" s="28">
        <f>(Table38[[#This Row],[GDP - per capita (PPP)]]-$K$199)/$K$201</f>
        <v>2.9843539721186346E-2</v>
      </c>
    </row>
    <row r="171" spans="1:14" x14ac:dyDescent="0.25">
      <c r="A171" s="11" t="s">
        <v>99</v>
      </c>
      <c r="B171" s="26">
        <v>96</v>
      </c>
      <c r="C171" s="12">
        <v>18460</v>
      </c>
      <c r="D171" s="11">
        <v>2019</v>
      </c>
      <c r="G171" s="42">
        <v>170</v>
      </c>
      <c r="H171" t="s">
        <v>402</v>
      </c>
      <c r="I171" s="43">
        <v>63.9</v>
      </c>
      <c r="J171">
        <v>2020</v>
      </c>
      <c r="K171">
        <f>IFERROR(VLOOKUP("*"&amp;Table38[[#This Row],[Country]]&amp;"*",Table6[],3,FALSE),0)</f>
        <v>3470</v>
      </c>
      <c r="L171">
        <f>CORREL(Table38[Life expectancy at birth],Table38[GDP - per capita (PPP)])</f>
        <v>0.66243787801142506</v>
      </c>
      <c r="M171">
        <f>(Table38[[#This Row],[Life expectancy at birth]]-$I$199)/$I$201</f>
        <v>0.3354430379746835</v>
      </c>
      <c r="N171" s="28">
        <f>(Table38[[#This Row],[GDP - per capita (PPP)]]-$K$199)/$K$201</f>
        <v>3.5647877050780249E-2</v>
      </c>
    </row>
    <row r="172" spans="1:14" x14ac:dyDescent="0.25">
      <c r="A172" s="11" t="s">
        <v>222</v>
      </c>
      <c r="B172" s="26">
        <v>219</v>
      </c>
      <c r="C172" s="12">
        <v>1597</v>
      </c>
      <c r="D172" s="11">
        <v>2019</v>
      </c>
      <c r="G172" s="42">
        <v>171</v>
      </c>
      <c r="H172" t="s">
        <v>403</v>
      </c>
      <c r="I172" s="43">
        <v>63.7</v>
      </c>
      <c r="J172">
        <v>2020</v>
      </c>
      <c r="K172">
        <f>IFERROR(VLOOKUP("*"&amp;Table38[[#This Row],[Country]]&amp;"*",Table6[],3,FALSE),0)</f>
        <v>9637</v>
      </c>
      <c r="L172">
        <f>CORREL(Table38[Life expectancy at birth],Table38[GDP - per capita (PPP)])</f>
        <v>0.66243787801142506</v>
      </c>
      <c r="M172">
        <f>(Table38[[#This Row],[Life expectancy at birth]]-$I$199)/$I$201</f>
        <v>0.329113924050633</v>
      </c>
      <c r="N172" s="28">
        <f>(Table38[[#This Row],[GDP - per capita (PPP)]]-$K$199)/$K$201</f>
        <v>9.9002475832383072E-2</v>
      </c>
    </row>
    <row r="173" spans="1:14" x14ac:dyDescent="0.25">
      <c r="A173" s="13" t="s">
        <v>166</v>
      </c>
      <c r="B173" s="27">
        <v>163</v>
      </c>
      <c r="C173" s="10">
        <v>6383</v>
      </c>
      <c r="D173" s="13">
        <v>2019</v>
      </c>
      <c r="G173" s="42">
        <v>172</v>
      </c>
      <c r="H173" t="s">
        <v>404</v>
      </c>
      <c r="I173" s="43">
        <v>63.4</v>
      </c>
      <c r="J173">
        <v>2020</v>
      </c>
      <c r="K173">
        <f>IFERROR(VLOOKUP("*"&amp;Table38[[#This Row],[Country]]&amp;"*",Table6[],3,FALSE),0)</f>
        <v>2187</v>
      </c>
      <c r="L173">
        <f>CORREL(Table38[Life expectancy at birth],Table38[GDP - per capita (PPP)])</f>
        <v>0.66243787801142506</v>
      </c>
      <c r="M173">
        <f>(Table38[[#This Row],[Life expectancy at birth]]-$I$199)/$I$201</f>
        <v>0.31962025316455694</v>
      </c>
      <c r="N173" s="28">
        <f>(Table38[[#This Row],[GDP - per capita (PPP)]]-$K$199)/$K$201</f>
        <v>2.2467408389065247E-2</v>
      </c>
    </row>
    <row r="174" spans="1:14" x14ac:dyDescent="0.25">
      <c r="A174" s="11" t="s">
        <v>83</v>
      </c>
      <c r="B174" s="26">
        <v>80</v>
      </c>
      <c r="C174" s="12">
        <v>26176</v>
      </c>
      <c r="D174" s="11">
        <v>2019</v>
      </c>
      <c r="G174" s="42">
        <v>173</v>
      </c>
      <c r="H174" t="s">
        <v>405</v>
      </c>
      <c r="I174" s="43">
        <v>62.4</v>
      </c>
      <c r="J174">
        <v>2020</v>
      </c>
      <c r="K174">
        <f>IFERROR(VLOOKUP("*"&amp;Table38[[#This Row],[Country]]&amp;"*",Table6[],3,FALSE),0)</f>
        <v>1225</v>
      </c>
      <c r="L174">
        <f>CORREL(Table38[Life expectancy at birth],Table38[GDP - per capita (PPP)])</f>
        <v>0.66243787801142506</v>
      </c>
      <c r="M174">
        <f>(Table38[[#This Row],[Life expectancy at birth]]-$I$199)/$I$201</f>
        <v>0.28797468354430378</v>
      </c>
      <c r="N174" s="28">
        <f>(Table38[[#This Row],[GDP - per capita (PPP)]]-$K$199)/$K$201</f>
        <v>1.2584625183632797E-2</v>
      </c>
    </row>
    <row r="175" spans="1:14" x14ac:dyDescent="0.25">
      <c r="A175" s="13" t="s">
        <v>147</v>
      </c>
      <c r="B175" s="27">
        <v>144</v>
      </c>
      <c r="C175" s="10">
        <v>10756</v>
      </c>
      <c r="D175" s="13">
        <v>2019</v>
      </c>
      <c r="G175" s="42">
        <v>174</v>
      </c>
      <c r="H175" t="s">
        <v>406</v>
      </c>
      <c r="I175" s="43">
        <v>62.1</v>
      </c>
      <c r="J175">
        <v>2020</v>
      </c>
      <c r="K175">
        <f>IFERROR(VLOOKUP("*"&amp;Table38[[#This Row],[Country]]&amp;"*",Table6[],3,FALSE),0)</f>
        <v>2223</v>
      </c>
      <c r="L175">
        <f>CORREL(Table38[Life expectancy at birth],Table38[GDP - per capita (PPP)])</f>
        <v>0.66243787801142506</v>
      </c>
      <c r="M175">
        <f>(Table38[[#This Row],[Life expectancy at birth]]-$I$199)/$I$201</f>
        <v>0.27848101265822789</v>
      </c>
      <c r="N175" s="28">
        <f>(Table38[[#This Row],[GDP - per capita (PPP)]]-$K$199)/$K$201</f>
        <v>2.2837242272012823E-2</v>
      </c>
    </row>
    <row r="176" spans="1:14" x14ac:dyDescent="0.25">
      <c r="A176" s="11" t="s">
        <v>77</v>
      </c>
      <c r="B176" s="26">
        <v>74</v>
      </c>
      <c r="C176" s="12">
        <v>28424</v>
      </c>
      <c r="D176" s="11">
        <v>2019</v>
      </c>
      <c r="G176" s="42">
        <v>175</v>
      </c>
      <c r="H176" t="s">
        <v>407</v>
      </c>
      <c r="I176" s="43">
        <v>61.8</v>
      </c>
      <c r="J176">
        <v>2020</v>
      </c>
      <c r="K176">
        <f>IFERROR(VLOOKUP("*"&amp;Table38[[#This Row],[Country]]&amp;"*",Table6[],3,FALSE),0)</f>
        <v>3287</v>
      </c>
      <c r="L176">
        <f>CORREL(Table38[Life expectancy at birth],Table38[GDP - per capita (PPP)])</f>
        <v>0.66243787801142506</v>
      </c>
      <c r="M176">
        <f>(Table38[[#This Row],[Life expectancy at birth]]-$I$199)/$I$201</f>
        <v>0.26898734177215183</v>
      </c>
      <c r="N176" s="28">
        <f>(Table38[[#This Row],[GDP - per capita (PPP)]]-$K$199)/$K$201</f>
        <v>3.3767888145796739E-2</v>
      </c>
    </row>
    <row r="177" spans="1:14" x14ac:dyDescent="0.25">
      <c r="A177" s="13" t="s">
        <v>74</v>
      </c>
      <c r="B177" s="27">
        <v>71</v>
      </c>
      <c r="C177" s="10">
        <v>29253</v>
      </c>
      <c r="D177" s="13">
        <v>2019</v>
      </c>
      <c r="G177" s="42">
        <v>176</v>
      </c>
      <c r="H177" t="s">
        <v>408</v>
      </c>
      <c r="I177" s="43">
        <v>61.6</v>
      </c>
      <c r="J177">
        <v>2020</v>
      </c>
      <c r="K177">
        <f>IFERROR(VLOOKUP("*"&amp;Table38[[#This Row],[Country]]&amp;"*",Table6[],3,FALSE),0)</f>
        <v>18558</v>
      </c>
      <c r="L177">
        <f>CORREL(Table38[Life expectancy at birth],Table38[GDP - per capita (PPP)])</f>
        <v>0.66243787801142506</v>
      </c>
      <c r="M177">
        <f>(Table38[[#This Row],[Life expectancy at birth]]-$I$199)/$I$201</f>
        <v>0.26265822784810133</v>
      </c>
      <c r="N177" s="28">
        <f>(Table38[[#This Row],[GDP - per capita (PPP)]]-$K$199)/$K$201</f>
        <v>0.19064936665947546</v>
      </c>
    </row>
    <row r="178" spans="1:14" x14ac:dyDescent="0.25">
      <c r="A178" s="13" t="s">
        <v>184</v>
      </c>
      <c r="B178" s="27">
        <v>181</v>
      </c>
      <c r="C178" s="10">
        <v>4281</v>
      </c>
      <c r="D178" s="13">
        <v>2019</v>
      </c>
      <c r="G178" s="42">
        <v>177</v>
      </c>
      <c r="H178" t="s">
        <v>409</v>
      </c>
      <c r="I178" s="43">
        <v>61.6</v>
      </c>
      <c r="J178">
        <v>2020</v>
      </c>
      <c r="K178">
        <f>IFERROR(VLOOKUP("*"&amp;Table38[[#This Row],[Country]]&amp;"*",Table6[],3,FALSE),0)</f>
        <v>2178</v>
      </c>
      <c r="L178">
        <f>CORREL(Table38[Life expectancy at birth],Table38[GDP - per capita (PPP)])</f>
        <v>0.66243787801142506</v>
      </c>
      <c r="M178">
        <f>(Table38[[#This Row],[Life expectancy at birth]]-$I$199)/$I$201</f>
        <v>0.26265822784810133</v>
      </c>
      <c r="N178" s="28">
        <f>(Table38[[#This Row],[GDP - per capita (PPP)]]-$K$199)/$K$201</f>
        <v>2.2374949918328352E-2</v>
      </c>
    </row>
    <row r="179" spans="1:14" x14ac:dyDescent="0.25">
      <c r="A179" s="13" t="s">
        <v>213</v>
      </c>
      <c r="B179" s="27">
        <v>210</v>
      </c>
      <c r="C179" s="10">
        <v>2187</v>
      </c>
      <c r="D179" s="13">
        <v>2019</v>
      </c>
      <c r="G179" s="42">
        <v>178</v>
      </c>
      <c r="H179" t="s">
        <v>410</v>
      </c>
      <c r="I179" s="43">
        <v>61.6</v>
      </c>
      <c r="J179">
        <v>2020</v>
      </c>
      <c r="K179">
        <f>IFERROR(VLOOKUP("*"&amp;Table38[[#This Row],[Country]]&amp;"*",Table6[],3,FALSE),0)</f>
        <v>752</v>
      </c>
      <c r="L179">
        <f>CORREL(Table38[Life expectancy at birth],Table38[GDP - per capita (PPP)])</f>
        <v>0.66243787801142506</v>
      </c>
      <c r="M179">
        <f>(Table38[[#This Row],[Life expectancy at birth]]-$I$199)/$I$201</f>
        <v>0.26265822784810133</v>
      </c>
      <c r="N179" s="28">
        <f>(Table38[[#This Row],[GDP - per capita (PPP)]]-$K$199)/$K$201</f>
        <v>7.725418888238255E-3</v>
      </c>
    </row>
    <row r="180" spans="1:14" x14ac:dyDescent="0.25">
      <c r="A180" s="11" t="s">
        <v>129</v>
      </c>
      <c r="B180" s="26">
        <v>126</v>
      </c>
      <c r="C180" s="12">
        <v>12810</v>
      </c>
      <c r="D180" s="11">
        <v>2019</v>
      </c>
      <c r="G180" s="42">
        <v>179</v>
      </c>
      <c r="H180" t="s">
        <v>411</v>
      </c>
      <c r="I180" s="43">
        <v>61.5</v>
      </c>
      <c r="J180">
        <v>2020</v>
      </c>
      <c r="K180">
        <f>IFERROR(VLOOKUP("*"&amp;Table38[[#This Row],[Country]]&amp;"*",Table6[],3,FALSE),0)</f>
        <v>2836</v>
      </c>
      <c r="L180">
        <f>CORREL(Table38[Life expectancy at birth],Table38[GDP - per capita (PPP)])</f>
        <v>0.66243787801142506</v>
      </c>
      <c r="M180">
        <f>(Table38[[#This Row],[Life expectancy at birth]]-$I$199)/$I$201</f>
        <v>0.25949367088607594</v>
      </c>
      <c r="N180" s="28">
        <f>(Table38[[#This Row],[GDP - per capita (PPP)]]-$K$199)/$K$201</f>
        <v>2.9134691445536823E-2</v>
      </c>
    </row>
    <row r="181" spans="1:14" x14ac:dyDescent="0.25">
      <c r="A181" s="11" t="s">
        <v>16</v>
      </c>
      <c r="B181" s="26">
        <v>13</v>
      </c>
      <c r="C181" s="12">
        <v>67119</v>
      </c>
      <c r="D181" s="11">
        <v>2019</v>
      </c>
      <c r="G181" s="42">
        <v>180</v>
      </c>
      <c r="H181" t="s">
        <v>412</v>
      </c>
      <c r="I181" s="43">
        <v>61.5</v>
      </c>
      <c r="J181">
        <v>2020</v>
      </c>
      <c r="K181">
        <f>IFERROR(VLOOKUP("*"&amp;Table38[[#This Row],[Country]]&amp;"*",Table6[],3,FALSE),0)</f>
        <v>0</v>
      </c>
      <c r="L181">
        <f>CORREL(Table38[Life expectancy at birth],Table38[GDP - per capita (PPP)])</f>
        <v>0.66243787801142506</v>
      </c>
      <c r="M181">
        <f>(Table38[[#This Row],[Life expectancy at birth]]-$I$199)/$I$201</f>
        <v>0.25949367088607594</v>
      </c>
      <c r="N181" s="28">
        <f>(Table38[[#This Row],[GDP - per capita (PPP)]]-$K$199)/$K$201</f>
        <v>0</v>
      </c>
    </row>
    <row r="182" spans="1:14" x14ac:dyDescent="0.25">
      <c r="A182" s="13" t="s">
        <v>39</v>
      </c>
      <c r="B182" s="27">
        <v>36</v>
      </c>
      <c r="C182" s="10">
        <v>46659</v>
      </c>
      <c r="D182" s="13">
        <v>2019</v>
      </c>
      <c r="G182" s="42">
        <v>181</v>
      </c>
      <c r="H182" t="s">
        <v>413</v>
      </c>
      <c r="I182" s="43">
        <v>61.2</v>
      </c>
      <c r="J182">
        <v>2020</v>
      </c>
      <c r="K182">
        <f>IFERROR(VLOOKUP("*"&amp;Table38[[#This Row],[Country]]&amp;"*",Table6[],3,FALSE),0)</f>
        <v>6670</v>
      </c>
      <c r="L182">
        <f>CORREL(Table38[Life expectancy at birth],Table38[GDP - per capita (PPP)])</f>
        <v>0.66243787801142506</v>
      </c>
      <c r="M182">
        <f>(Table38[[#This Row],[Life expectancy at birth]]-$I$199)/$I$201</f>
        <v>0.25000000000000011</v>
      </c>
      <c r="N182" s="28">
        <f>(Table38[[#This Row],[GDP - per capita (PPP)]]-$K$199)/$K$201</f>
        <v>6.8521999979453671E-2</v>
      </c>
    </row>
    <row r="183" spans="1:14" x14ac:dyDescent="0.25">
      <c r="A183" s="11" t="s">
        <v>18</v>
      </c>
      <c r="B183" s="26">
        <v>15</v>
      </c>
      <c r="C183" s="12">
        <v>62530</v>
      </c>
      <c r="D183" s="11">
        <v>2019</v>
      </c>
      <c r="G183" s="42">
        <v>182</v>
      </c>
      <c r="H183" t="s">
        <v>414</v>
      </c>
      <c r="I183" s="43">
        <v>61</v>
      </c>
      <c r="J183">
        <v>2020</v>
      </c>
      <c r="K183">
        <f>IFERROR(VLOOKUP("*"&amp;Table38[[#This Row],[Country]]&amp;"*",Table6[],3,FALSE),0)</f>
        <v>1597</v>
      </c>
      <c r="L183">
        <f>CORREL(Table38[Life expectancy at birth],Table38[GDP - per capita (PPP)])</f>
        <v>0.66243787801142506</v>
      </c>
      <c r="M183">
        <f>(Table38[[#This Row],[Life expectancy at birth]]-$I$199)/$I$201</f>
        <v>0.24367088607594939</v>
      </c>
      <c r="N183" s="28">
        <f>(Table38[[#This Row],[GDP - per capita (PPP)]]-$K$199)/$K$201</f>
        <v>1.6406241974091081E-2</v>
      </c>
    </row>
    <row r="184" spans="1:14" x14ac:dyDescent="0.25">
      <c r="A184" s="13" t="s">
        <v>91</v>
      </c>
      <c r="B184" s="27">
        <v>88</v>
      </c>
      <c r="C184" s="10">
        <v>21561</v>
      </c>
      <c r="D184" s="13">
        <v>2019</v>
      </c>
      <c r="G184" s="42">
        <v>183</v>
      </c>
      <c r="H184" t="s">
        <v>415</v>
      </c>
      <c r="I184" s="43">
        <v>60.9</v>
      </c>
      <c r="J184">
        <v>2020</v>
      </c>
      <c r="K184">
        <f>IFERROR(VLOOKUP("*"&amp;Table38[[#This Row],[Country]]&amp;"*",Table6[],3,FALSE),0)</f>
        <v>1281</v>
      </c>
      <c r="L184">
        <f>CORREL(Table38[Life expectancy at birth],Table38[GDP - per capita (PPP)])</f>
        <v>0.66243787801142506</v>
      </c>
      <c r="M184">
        <f>(Table38[[#This Row],[Life expectancy at birth]]-$I$199)/$I$201</f>
        <v>0.24050632911392403</v>
      </c>
      <c r="N184" s="28">
        <f>(Table38[[#This Row],[GDP - per capita (PPP)]]-$K$199)/$K$201</f>
        <v>1.3159922334884581E-2</v>
      </c>
    </row>
    <row r="185" spans="1:14" x14ac:dyDescent="0.25">
      <c r="A185" s="13" t="s">
        <v>162</v>
      </c>
      <c r="B185" s="27">
        <v>159</v>
      </c>
      <c r="C185" s="10">
        <v>6999</v>
      </c>
      <c r="D185" s="13">
        <v>2019</v>
      </c>
      <c r="G185" s="42">
        <v>184</v>
      </c>
      <c r="H185" t="s">
        <v>416</v>
      </c>
      <c r="I185" s="43">
        <v>60.7</v>
      </c>
      <c r="J185">
        <v>2020</v>
      </c>
      <c r="K185">
        <f>IFERROR(VLOOKUP("*"&amp;Table38[[#This Row],[Country]]&amp;"*",Table6[],3,FALSE),0)</f>
        <v>1098</v>
      </c>
      <c r="L185">
        <f>CORREL(Table38[Life expectancy at birth],Table38[GDP - per capita (PPP)])</f>
        <v>0.66243787801142506</v>
      </c>
      <c r="M185">
        <f>(Table38[[#This Row],[Life expectancy at birth]]-$I$199)/$I$201</f>
        <v>0.23417721518987353</v>
      </c>
      <c r="N185" s="28">
        <f>(Table38[[#This Row],[GDP - per capita (PPP)]]-$K$199)/$K$201</f>
        <v>1.127993342990107E-2</v>
      </c>
    </row>
    <row r="186" spans="1:14" x14ac:dyDescent="0.25">
      <c r="A186" s="11" t="s">
        <v>198</v>
      </c>
      <c r="B186" s="26">
        <v>195</v>
      </c>
      <c r="C186" s="12">
        <v>3153</v>
      </c>
      <c r="D186" s="11">
        <v>2019</v>
      </c>
      <c r="G186" s="42">
        <v>185</v>
      </c>
      <c r="H186" t="s">
        <v>417</v>
      </c>
      <c r="I186" s="43">
        <v>60.2</v>
      </c>
      <c r="J186">
        <v>2020</v>
      </c>
      <c r="K186">
        <f>IFERROR(VLOOKUP("*"&amp;Table38[[#This Row],[Country]]&amp;"*",Table6[],3,FALSE),0)</f>
        <v>8622</v>
      </c>
      <c r="L186">
        <f>CORREL(Table38[Life expectancy at birth],Table38[GDP - per capita (PPP)])</f>
        <v>0.66243787801142506</v>
      </c>
      <c r="M186">
        <f>(Table38[[#This Row],[Life expectancy at birth]]-$I$199)/$I$201</f>
        <v>0.21835443037974694</v>
      </c>
      <c r="N186" s="28">
        <f>(Table38[[#This Row],[GDP - per capita (PPP)]]-$K$199)/$K$201</f>
        <v>8.8575214965944463E-2</v>
      </c>
    </row>
    <row r="187" spans="1:14" x14ac:dyDescent="0.25">
      <c r="A187" s="11" t="s">
        <v>156</v>
      </c>
      <c r="B187" s="26">
        <v>153</v>
      </c>
      <c r="C187" s="12">
        <v>8041</v>
      </c>
      <c r="D187" s="11">
        <v>2019</v>
      </c>
      <c r="G187" s="42">
        <v>186</v>
      </c>
      <c r="H187" t="s">
        <v>418</v>
      </c>
      <c r="I187" s="43">
        <v>59.3</v>
      </c>
      <c r="J187">
        <v>2020</v>
      </c>
      <c r="K187">
        <f>IFERROR(VLOOKUP("*"&amp;Table38[[#This Row],[Country]]&amp;"*",Table6[],3,FALSE),0)</f>
        <v>3642</v>
      </c>
      <c r="L187">
        <f>CORREL(Table38[Life expectancy at birth],Table38[GDP - per capita (PPP)])</f>
        <v>0.66243787801142506</v>
      </c>
      <c r="M187">
        <f>(Table38[[#This Row],[Life expectancy at birth]]-$I$199)/$I$201</f>
        <v>0.18987341772151894</v>
      </c>
      <c r="N187" s="28">
        <f>(Table38[[#This Row],[GDP - per capita (PPP)]]-$K$199)/$K$201</f>
        <v>3.7414861158196443E-2</v>
      </c>
    </row>
    <row r="188" spans="1:14" x14ac:dyDescent="0.25">
      <c r="A188" s="13" t="s">
        <v>192</v>
      </c>
      <c r="B188" s="27">
        <v>189</v>
      </c>
      <c r="C188" s="10">
        <v>3470</v>
      </c>
      <c r="D188" s="13">
        <v>2019</v>
      </c>
      <c r="G188" s="42">
        <v>187</v>
      </c>
      <c r="H188" t="s">
        <v>419</v>
      </c>
      <c r="I188" s="43">
        <v>59.3</v>
      </c>
      <c r="J188">
        <v>2020</v>
      </c>
      <c r="K188">
        <f>IFERROR(VLOOKUP("*"&amp;Table38[[#This Row],[Country]]&amp;"*",Table6[],3,FALSE),0)</f>
        <v>2322</v>
      </c>
      <c r="L188">
        <f>CORREL(Table38[Life expectancy at birth],Table38[GDP - per capita (PPP)])</f>
        <v>0.66243787801142506</v>
      </c>
      <c r="M188">
        <f>(Table38[[#This Row],[Life expectancy at birth]]-$I$199)/$I$201</f>
        <v>0.18987341772151894</v>
      </c>
      <c r="N188" s="28">
        <f>(Table38[[#This Row],[GDP - per capita (PPP)]]-$K$199)/$K$201</f>
        <v>2.3854285450118654E-2</v>
      </c>
    </row>
    <row r="189" spans="1:14" x14ac:dyDescent="0.25">
      <c r="A189" s="34" t="s">
        <v>202</v>
      </c>
      <c r="B189" s="35">
        <v>199</v>
      </c>
      <c r="C189" s="36">
        <v>2836</v>
      </c>
      <c r="D189" s="34">
        <v>2019</v>
      </c>
      <c r="G189" s="42">
        <v>188</v>
      </c>
      <c r="H189" t="s">
        <v>420</v>
      </c>
      <c r="I189" s="43">
        <v>58.7</v>
      </c>
      <c r="J189">
        <v>2020</v>
      </c>
      <c r="K189">
        <f>IFERROR(VLOOKUP("*"&amp;Table38[[#This Row],[Country]]&amp;"*",Table6[],3,FALSE),0)</f>
        <v>18558</v>
      </c>
      <c r="L189">
        <f>CORREL(Table38[Life expectancy at birth],Table38[GDP - per capita (PPP)])</f>
        <v>0.66243787801142506</v>
      </c>
      <c r="M189">
        <f>(Table38[[#This Row],[Life expectancy at birth]]-$I$199)/$I$201</f>
        <v>0.17088607594936722</v>
      </c>
      <c r="N189" s="28">
        <f>(Table38[[#This Row],[GDP - per capita (PPP)]]-$K$199)/$K$201</f>
        <v>0.19064936665947546</v>
      </c>
    </row>
    <row r="190" spans="1:14" x14ac:dyDescent="0.25">
      <c r="G190" s="42">
        <v>189</v>
      </c>
      <c r="H190" t="s">
        <v>421</v>
      </c>
      <c r="I190" s="43">
        <v>58.3</v>
      </c>
      <c r="J190">
        <v>2020</v>
      </c>
      <c r="K190">
        <f>IFERROR(VLOOKUP("*"&amp;Table38[[#This Row],[Country]]&amp;"*",Table6[],3,FALSE),0)</f>
        <v>1989</v>
      </c>
      <c r="L190">
        <f>CORREL(Table38[Life expectancy at birth],Table38[GDP - per capita (PPP)])</f>
        <v>0.66243787801142506</v>
      </c>
      <c r="M190">
        <f>(Table38[[#This Row],[Life expectancy at birth]]-$I$199)/$I$201</f>
        <v>0.15822784810126578</v>
      </c>
      <c r="N190" s="28">
        <f>(Table38[[#This Row],[GDP - per capita (PPP)]]-$K$199)/$K$201</f>
        <v>2.0433322032853578E-2</v>
      </c>
    </row>
    <row r="191" spans="1:14" x14ac:dyDescent="0.25">
      <c r="G191" s="42">
        <v>190</v>
      </c>
      <c r="H191" t="s">
        <v>422</v>
      </c>
      <c r="I191" s="43">
        <v>57.9</v>
      </c>
      <c r="J191">
        <v>2020</v>
      </c>
      <c r="K191">
        <f>IFERROR(VLOOKUP("*"&amp;Table38[[#This Row],[Country]]&amp;"*",Table6[],3,FALSE),0)</f>
        <v>0</v>
      </c>
      <c r="L191">
        <f>CORREL(Table38[Life expectancy at birth],Table38[GDP - per capita (PPP)])</f>
        <v>0.66243787801142506</v>
      </c>
      <c r="M191">
        <f>(Table38[[#This Row],[Life expectancy at birth]]-$I$199)/$I$201</f>
        <v>0.14556962025316456</v>
      </c>
      <c r="N191" s="28">
        <f>(Table38[[#This Row],[GDP - per capita (PPP)]]-$K$199)/$K$201</f>
        <v>0</v>
      </c>
    </row>
    <row r="192" spans="1:14" x14ac:dyDescent="0.25">
      <c r="G192" s="42">
        <v>191</v>
      </c>
      <c r="H192" t="s">
        <v>423</v>
      </c>
      <c r="I192" s="43">
        <v>57.8</v>
      </c>
      <c r="J192">
        <v>2020</v>
      </c>
      <c r="K192">
        <f>IFERROR(VLOOKUP("*"&amp;Table38[[#This Row],[Country]]&amp;"*",Table6[],3,FALSE),0)</f>
        <v>5213</v>
      </c>
      <c r="L192">
        <f>CORREL(Table38[Life expectancy at birth],Table38[GDP - per capita (PPP)])</f>
        <v>0.66243787801142506</v>
      </c>
      <c r="M192">
        <f>(Table38[[#This Row],[Life expectancy at birth]]-$I$199)/$I$201</f>
        <v>0.14240506329113919</v>
      </c>
      <c r="N192" s="28">
        <f>(Table38[[#This Row],[GDP - per capita (PPP)]]-$K$199)/$K$201</f>
        <v>5.3554000883492055E-2</v>
      </c>
    </row>
    <row r="193" spans="7:14" x14ac:dyDescent="0.25">
      <c r="G193" s="42">
        <v>192</v>
      </c>
      <c r="H193" t="s">
        <v>424</v>
      </c>
      <c r="I193" s="43">
        <v>54.7</v>
      </c>
      <c r="J193">
        <v>2020</v>
      </c>
      <c r="K193">
        <f>IFERROR(VLOOKUP("*"&amp;Table38[[#This Row],[Country]]&amp;"*",Table6[],3,FALSE),0)</f>
        <v>5136</v>
      </c>
      <c r="L193">
        <f>CORREL(Table38[Life expectancy at birth],Table38[GDP - per capita (PPP)])</f>
        <v>0.66243787801142506</v>
      </c>
      <c r="M193">
        <f>(Table38[[#This Row],[Life expectancy at birth]]-$I$199)/$I$201</f>
        <v>4.4303797468354597E-2</v>
      </c>
      <c r="N193" s="28">
        <f>(Table38[[#This Row],[GDP - per capita (PPP)]]-$K$199)/$K$201</f>
        <v>5.2762967300520852E-2</v>
      </c>
    </row>
    <row r="194" spans="7:14" x14ac:dyDescent="0.25">
      <c r="G194" s="42">
        <v>193</v>
      </c>
      <c r="H194" t="s">
        <v>425</v>
      </c>
      <c r="I194" s="43">
        <v>54.7</v>
      </c>
      <c r="J194">
        <v>2020</v>
      </c>
      <c r="K194">
        <f>IFERROR(VLOOKUP("*"&amp;Table38[[#This Row],[Country]]&amp;"*",Table6[],3,FALSE),0)</f>
        <v>1718</v>
      </c>
      <c r="L194">
        <f>CORREL(Table38[Life expectancy at birth],Table38[GDP - per capita (PPP)])</f>
        <v>0.66243787801142506</v>
      </c>
      <c r="M194">
        <f>(Table38[[#This Row],[Life expectancy at birth]]-$I$199)/$I$201</f>
        <v>4.4303797468354597E-2</v>
      </c>
      <c r="N194" s="28">
        <f>(Table38[[#This Row],[GDP - per capita (PPP)]]-$K$199)/$K$201</f>
        <v>1.7649294747331547E-2</v>
      </c>
    </row>
    <row r="195" spans="7:14" x14ac:dyDescent="0.25">
      <c r="G195" s="42">
        <v>194</v>
      </c>
      <c r="H195" t="s">
        <v>426</v>
      </c>
      <c r="I195" s="43">
        <v>54.3</v>
      </c>
      <c r="J195">
        <v>2020</v>
      </c>
      <c r="K195">
        <f>IFERROR(VLOOKUP("*"&amp;Table38[[#This Row],[Country]]&amp;"*",Table6[],3,FALSE),0)</f>
        <v>2704</v>
      </c>
      <c r="L195">
        <f>CORREL(Table38[Life expectancy at birth],Table38[GDP - per capita (PPP)])</f>
        <v>0.66243787801142506</v>
      </c>
      <c r="M195">
        <f>(Table38[[#This Row],[Life expectancy at birth]]-$I$199)/$I$201</f>
        <v>3.1645569620253153E-2</v>
      </c>
      <c r="N195" s="28">
        <f>(Table38[[#This Row],[GDP - per capita (PPP)]]-$K$199)/$K$201</f>
        <v>2.7778633874729047E-2</v>
      </c>
    </row>
    <row r="196" spans="7:14" x14ac:dyDescent="0.25">
      <c r="G196" s="42">
        <v>195</v>
      </c>
      <c r="H196" t="s">
        <v>427</v>
      </c>
      <c r="I196" s="43">
        <v>54.2</v>
      </c>
      <c r="J196">
        <v>2020</v>
      </c>
      <c r="K196">
        <f>IFERROR(VLOOKUP("*"&amp;Table38[[#This Row],[Country]]&amp;"*",Table6[],3,FALSE),0)</f>
        <v>1580</v>
      </c>
      <c r="L196">
        <f>CORREL(Table38[Life expectancy at birth],Table38[GDP - per capita (PPP)])</f>
        <v>0.66243787801142506</v>
      </c>
      <c r="M196">
        <f>(Table38[[#This Row],[Life expectancy at birth]]-$I$199)/$I$201</f>
        <v>2.8481012658228021E-2</v>
      </c>
      <c r="N196" s="28">
        <f>(Table38[[#This Row],[GDP - per capita (PPP)]]-$K$199)/$K$201</f>
        <v>1.6231598196032503E-2</v>
      </c>
    </row>
    <row r="197" spans="7:14" x14ac:dyDescent="0.25">
      <c r="G197" s="42">
        <v>196</v>
      </c>
      <c r="H197" t="s">
        <v>428</v>
      </c>
      <c r="I197" s="43">
        <v>53.3</v>
      </c>
      <c r="J197">
        <v>2020</v>
      </c>
      <c r="K197">
        <f>IFERROR(VLOOKUP("*"&amp;Table38[[#This Row],[Country]]&amp;"*",Table6[],3,FALSE),0)</f>
        <v>945</v>
      </c>
      <c r="L197">
        <f>CORREL(Table38[Life expectancy at birth],Table38[GDP - per capita (PPP)])</f>
        <v>0.66243787801142506</v>
      </c>
      <c r="M197">
        <f>(Table38[[#This Row],[Life expectancy at birth]]-$I$199)/$I$201</f>
        <v>0</v>
      </c>
      <c r="N197" s="28">
        <f>(Table38[[#This Row],[GDP - per capita (PPP)]]-$K$199)/$K$201</f>
        <v>9.7081394273738717E-3</v>
      </c>
    </row>
    <row r="199" spans="7:14" x14ac:dyDescent="0.25">
      <c r="H199" t="s">
        <v>454</v>
      </c>
      <c r="I199" s="40">
        <f>MIN(Table38[Life expectancy at birth])</f>
        <v>53.3</v>
      </c>
      <c r="K199" s="40">
        <f>MIN(Table38[GDP - per capita (PPP)])</f>
        <v>0</v>
      </c>
    </row>
    <row r="200" spans="7:14" x14ac:dyDescent="0.25">
      <c r="H200" t="s">
        <v>455</v>
      </c>
      <c r="I200" s="40">
        <f>MAX(Table38[Life expectancy at birth])</f>
        <v>84.9</v>
      </c>
      <c r="K200" s="40">
        <f>MAX(Table38[GDP - per capita (PPP)])</f>
        <v>97341</v>
      </c>
    </row>
    <row r="201" spans="7:14" x14ac:dyDescent="0.25">
      <c r="H201" t="s">
        <v>456</v>
      </c>
      <c r="I201" s="40">
        <f>I200-I199</f>
        <v>31.600000000000009</v>
      </c>
      <c r="K201" s="40">
        <f>K200-K199</f>
        <v>97341</v>
      </c>
    </row>
  </sheetData>
  <conditionalFormatting sqref="A1:A189">
    <cfRule type="duplicateValues" dxfId="7" priority="1"/>
  </conditionalFormatting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9FDE622C39664493E9286650F8C15D" ma:contentTypeVersion="1" ma:contentTypeDescription="Create a new document." ma:contentTypeScope="" ma:versionID="62bb1a5c7845dddb219c3040e5881d8e">
  <xsd:schema xmlns:xsd="http://www.w3.org/2001/XMLSchema" xmlns:xs="http://www.w3.org/2001/XMLSchema" xmlns:p="http://schemas.microsoft.com/office/2006/metadata/properties" xmlns:ns2="49766b23-2e19-487e-8c8c-877d72ad430e" targetNamespace="http://schemas.microsoft.com/office/2006/metadata/properties" ma:root="true" ma:fieldsID="19555821f996f371b2105e6808cedef2" ns2:_="">
    <xsd:import namespace="49766b23-2e19-487e-8c8c-877d72ad430e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766b23-2e19-487e-8c8c-877d72ad430e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49766b23-2e19-487e-8c8c-877d72ad430e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D56C62-3FAD-4184-AB54-F92ABC1F8C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766b23-2e19-487e-8c8c-877d72ad43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696B67-70AC-4492-9CC6-F542E31516FE}">
  <ds:schemaRefs>
    <ds:schemaRef ds:uri="http://schemas.microsoft.com/office/2006/documentManagement/types"/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49766b23-2e19-487e-8c8c-877d72ad430e"/>
  </ds:schemaRefs>
</ds:datastoreItem>
</file>

<file path=customXml/itemProps4.xml><?xml version="1.0" encoding="utf-8"?>
<ds:datastoreItem xmlns:ds="http://schemas.openxmlformats.org/officeDocument/2006/customXml" ds:itemID="{D7EDD381-129C-4A37-A7D4-ADBC49A589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GDP</vt:lpstr>
      <vt:lpstr>TOP 20 GDP</vt:lpstr>
      <vt:lpstr>Life Expectancy</vt:lpstr>
      <vt:lpstr>Smartphones</vt:lpstr>
      <vt:lpstr>Life Expentancy Vs GDP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User1</cp:lastModifiedBy>
  <cp:revision/>
  <dcterms:created xsi:type="dcterms:W3CDTF">2018-10-30T15:44:39Z</dcterms:created>
  <dcterms:modified xsi:type="dcterms:W3CDTF">2024-04-21T05:51:43Z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0x010100949FDE622C39664493E9286650F8C15D</vt:lpwstr>
  </property>
  <property fmtid="{D5CDD505-2E9C-101B-9397-08002B2CF9AE}" pid="3" name="MediaServiceImageTags">
    <vt:lpwstr/>
  </property>
  <property fmtid="{D5CDD505-2E9C-101B-9397-08002B2CF9AE}" pid="4" name="Order">
    <vt:r8>3800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</Properties>
</file>